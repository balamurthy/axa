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E:\BLaptop\Kvaluent\"/>
    </mc:Choice>
  </mc:AlternateContent>
  <xr:revisionPtr revIDLastSave="0" documentId="13_ncr:1_{249CCD02-D9D1-4B9F-BF5C-21E149541DB6}" xr6:coauthVersionLast="47" xr6:coauthVersionMax="47" xr10:uidLastSave="{00000000-0000-0000-0000-000000000000}"/>
  <bookViews>
    <workbookView xWindow="-120" yWindow="-120" windowWidth="20730" windowHeight="11040" firstSheet="1" activeTab="3" xr2:uid="{00843BC8-B95A-4820-BE6A-899021419895}"/>
  </bookViews>
  <sheets>
    <sheet name="Day9" sheetId="1" r:id="rId1"/>
    <sheet name="Day10" sheetId="10" r:id="rId2"/>
    <sheet name="Day12-MidEval" sheetId="11" r:id="rId3"/>
    <sheet name="FinalAssessment" sheetId="13" r:id="rId4"/>
    <sheet name="Day13" sheetId="12" r:id="rId5"/>
    <sheet name="Day3" sheetId="2" r:id="rId6"/>
    <sheet name="TOC" sheetId="3" r:id="rId7"/>
    <sheet name="Day4" sheetId="4" r:id="rId8"/>
    <sheet name="Day19DB" sheetId="9" r:id="rId9"/>
    <sheet name="Day5" sheetId="5" r:id="rId10"/>
    <sheet name="Day6" sheetId="6" r:id="rId11"/>
    <sheet name="Day7" sheetId="7" r:id="rId12"/>
    <sheet name="Day8" sheetId="8" r:id="rId13"/>
  </sheets>
  <definedNames>
    <definedName name="_xlnm._FilterDatabase" localSheetId="1" hidden="1">'Day10'!$A$30:$Q$92</definedName>
    <definedName name="_xlnm._FilterDatabase" localSheetId="2" hidden="1">'Day12-MidEval'!$A$24:$G$33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3" i="13" l="1"/>
  <c r="G12" i="13"/>
  <c r="G11" i="13"/>
  <c r="G10" i="13"/>
  <c r="G9" i="13"/>
  <c r="G8" i="13"/>
  <c r="G7" i="13"/>
  <c r="G6" i="13"/>
  <c r="G5" i="13"/>
  <c r="G4" i="13"/>
  <c r="G30" i="11"/>
  <c r="G26" i="11"/>
  <c r="G25" i="11"/>
  <c r="G28" i="11"/>
  <c r="G27" i="11"/>
  <c r="C8" i="5"/>
  <c r="H14" i="2"/>
  <c r="H13" i="2"/>
  <c r="H12" i="2"/>
  <c r="H11" i="2"/>
  <c r="H10" i="2"/>
</calcChain>
</file>

<file path=xl/sharedStrings.xml><?xml version="1.0" encoding="utf-8"?>
<sst xmlns="http://schemas.openxmlformats.org/spreadsheetml/2006/main" count="1126" uniqueCount="930">
  <si>
    <t>Login use case</t>
  </si>
  <si>
    <t>Happy path</t>
  </si>
  <si>
    <t>TC for automation (Functional Regression Test automation)</t>
  </si>
  <si>
    <t>tomsmith</t>
  </si>
  <si>
    <t>SuperSecretPassword!</t>
  </si>
  <si>
    <t>success criteria</t>
  </si>
  <si>
    <t>Logout button / Logged in is displayed in the green band</t>
  </si>
  <si>
    <t>Title check</t>
  </si>
  <si>
    <t>The Internet</t>
  </si>
  <si>
    <t>Footer check</t>
  </si>
  <si>
    <t>Powered by Elemental Selenium should be displayed in footer</t>
  </si>
  <si>
    <t>//*[@id="login"]/button</t>
  </si>
  <si>
    <t>the-internet.herokuapp.com/login page</t>
  </si>
  <si>
    <t>/html/body/div[2]/div/div/form/button</t>
  </si>
  <si>
    <t>// - is called relative xpath</t>
  </si>
  <si>
    <t>/ is called absolute xpath</t>
  </si>
  <si>
    <t>#login &gt; button</t>
  </si>
  <si>
    <t>abs xpath</t>
  </si>
  <si>
    <t>relative</t>
  </si>
  <si>
    <t>css selector</t>
  </si>
  <si>
    <t>More supermarket</t>
  </si>
  <si>
    <t>mumbai/kb</t>
  </si>
  <si>
    <t>Where it is used in automation</t>
  </si>
  <si>
    <t>reach more supermarket and it is the 2nd house</t>
  </si>
  <si>
    <t>Registration form</t>
  </si>
  <si>
    <t>Password</t>
  </si>
  <si>
    <t>Confirm password</t>
  </si>
  <si>
    <t>Userid</t>
  </si>
  <si>
    <t>Rules</t>
  </si>
  <si>
    <t>Register</t>
  </si>
  <si>
    <t>Eq.partition bva for Userid</t>
  </si>
  <si>
    <t>3 to 10</t>
  </si>
  <si>
    <t xml:space="preserve">&lt;3 </t>
  </si>
  <si>
    <t xml:space="preserve">&gt;10 </t>
  </si>
  <si>
    <t>Test data</t>
  </si>
  <si>
    <t>Expected</t>
  </si>
  <si>
    <t>Reject</t>
  </si>
  <si>
    <t>Accept</t>
  </si>
  <si>
    <t>Actual</t>
  </si>
  <si>
    <t>Pass</t>
  </si>
  <si>
    <t>Fail</t>
  </si>
  <si>
    <t>CC</t>
  </si>
  <si>
    <t>11 char</t>
  </si>
  <si>
    <t>4 chars</t>
  </si>
  <si>
    <t>9 chars</t>
  </si>
  <si>
    <t>if useridinput &gt;=3 and &lt;=10</t>
  </si>
  <si>
    <t>Cycle1</t>
  </si>
  <si>
    <t>Cycle2</t>
  </si>
  <si>
    <t>valid class</t>
  </si>
  <si>
    <t>Invalid class</t>
  </si>
  <si>
    <t>invalid class</t>
  </si>
  <si>
    <t>3,10,2,11,empty</t>
  </si>
  <si>
    <t>8 chars,1 number,1 splchar 1 uc</t>
  </si>
  <si>
    <t>&gt;=3 and &lt;=10 and userid should be available</t>
  </si>
  <si>
    <t>if (userid !present)</t>
  </si>
  <si>
    <t>registeruser(userid)</t>
  </si>
  <si>
    <t xml:space="preserve">check </t>
  </si>
  <si>
    <t>Recipe</t>
  </si>
  <si>
    <t>Ingredients</t>
  </si>
  <si>
    <t>qty/measure</t>
  </si>
  <si>
    <t>ing1</t>
  </si>
  <si>
    <t>1 cup</t>
  </si>
  <si>
    <t>ing2</t>
  </si>
  <si>
    <t>1 tblspn</t>
  </si>
  <si>
    <t>Method</t>
  </si>
  <si>
    <t>Sequential</t>
  </si>
  <si>
    <t>step1</t>
  </si>
  <si>
    <t>step2</t>
  </si>
  <si>
    <t>Programming</t>
  </si>
  <si>
    <t>Variables</t>
  </si>
  <si>
    <t>Name</t>
  </si>
  <si>
    <t>Data type</t>
  </si>
  <si>
    <t>age</t>
  </si>
  <si>
    <t>number</t>
  </si>
  <si>
    <t>name</t>
  </si>
  <si>
    <t>String</t>
  </si>
  <si>
    <t>Salary</t>
  </si>
  <si>
    <t>Decimal</t>
  </si>
  <si>
    <t>var</t>
  </si>
  <si>
    <t>let</t>
  </si>
  <si>
    <t>const</t>
  </si>
  <si>
    <t>Variables - Declaration</t>
  </si>
  <si>
    <t>Variables-Data assignment</t>
  </si>
  <si>
    <t>age=45</t>
  </si>
  <si>
    <t>name="bala"</t>
  </si>
  <si>
    <t xml:space="preserve">    Valid for policy</t>
  </si>
  <si>
    <t>if (age ="")</t>
  </si>
  <si>
    <t>if (number(age &gt;=18) and number(age &lt;=65))</t>
  </si>
  <si>
    <t xml:space="preserve">   message "Input is mandatory"</t>
  </si>
  <si>
    <t>KRISHNAN Arunima Hello</t>
  </si>
  <si>
    <t>SENGUPTA Sanjeevani and PATIL Asmita Rajeshare out of office, they might not join, rest have joined.</t>
  </si>
  <si>
    <t>even CHAVAN Sandip Janardhan is not there</t>
  </si>
  <si>
    <t>Attendance</t>
  </si>
  <si>
    <t xml:space="preserve">High priority to be tested </t>
  </si>
  <si>
    <t>CHOUDHARY Sohail</t>
  </si>
  <si>
    <t>GYANCHANDANI Mayur</t>
  </si>
  <si>
    <t>JACOB Aryaan</t>
  </si>
  <si>
    <t>PATANKAR Vijay</t>
  </si>
  <si>
    <t>QUAZI Furquan</t>
  </si>
  <si>
    <t>R Ashwini</t>
  </si>
  <si>
    <t>SENGUPTA Sanjeevani</t>
  </si>
  <si>
    <t>SNEHA K B</t>
  </si>
  <si>
    <t>TONDE Chaitanya Appasaheb</t>
  </si>
  <si>
    <t>Present</t>
  </si>
  <si>
    <t>Learning Journey</t>
  </si>
  <si>
    <t>Testing Recap → HTML/CSS &amp; DOM → JavaScript → TypeScript → Playwright → API-Assisted Automation → SQL &amp; Failure Investigation → ADO/CI-CD → Low-Code Automation → Project</t>
  </si>
  <si>
    <r>
      <t xml:space="preserve">The program is intentionally sequenced so that participants first understand </t>
    </r>
    <r>
      <rPr>
        <b/>
        <sz val="12"/>
        <color theme="1"/>
        <rFont val="Calibri"/>
        <family val="2"/>
      </rPr>
      <t>how a web application is structured</t>
    </r>
    <r>
      <rPr>
        <sz val="12"/>
        <color theme="1"/>
        <rFont val="Calibri"/>
        <family val="2"/>
      </rPr>
      <t>, then learn enough programming to understand automation code, and only then progress into Playwright.</t>
    </r>
  </si>
  <si>
    <t>Level Boundary</t>
  </si>
  <si>
    <t>Participants should be able to work independently on straightforward test automation tasks, extend existing Playwright tests, create new tests using established patterns, execute and troubleshoot them, and escalate more complex framework, architecture or programming issues appropriately.</t>
  </si>
  <si>
    <t xml:space="preserve">Core Competencies Required After this Training – </t>
  </si>
  <si>
    <r>
      <t>·</t>
    </r>
    <r>
      <rPr>
        <sz val="7"/>
        <color theme="1"/>
        <rFont val="Times New Roman"/>
        <family val="1"/>
      </rPr>
      <t xml:space="preserve">         </t>
    </r>
    <r>
      <rPr>
        <sz val="12"/>
        <color theme="1"/>
        <rFont val="Calibri"/>
        <family val="2"/>
      </rPr>
      <t>Understanding of the Software Testing Lifecycle (STLC)</t>
    </r>
  </si>
  <si>
    <r>
      <t>·</t>
    </r>
    <r>
      <rPr>
        <sz val="7"/>
        <color theme="1"/>
        <rFont val="Times New Roman"/>
        <family val="1"/>
      </rPr>
      <t xml:space="preserve">         </t>
    </r>
    <r>
      <rPr>
        <sz val="12"/>
        <color theme="1"/>
        <rFont val="Calibri"/>
        <family val="2"/>
      </rPr>
      <t>Understanding of Agile/Scrum delivery methodologies</t>
    </r>
  </si>
  <si>
    <r>
      <t>·</t>
    </r>
    <r>
      <rPr>
        <sz val="7"/>
        <color theme="1"/>
        <rFont val="Times New Roman"/>
        <family val="1"/>
      </rPr>
      <t xml:space="preserve">         </t>
    </r>
    <r>
      <rPr>
        <sz val="12"/>
        <color theme="1"/>
        <rFont val="Calibri"/>
        <family val="2"/>
      </rPr>
      <t>Experience using Azure DevOps (ADO) for test management and defect tracking</t>
    </r>
  </si>
  <si>
    <r>
      <t>·</t>
    </r>
    <r>
      <rPr>
        <sz val="7"/>
        <color theme="1"/>
        <rFont val="Times New Roman"/>
        <family val="1"/>
      </rPr>
      <t xml:space="preserve">         </t>
    </r>
    <r>
      <rPr>
        <sz val="12"/>
        <color theme="1"/>
        <rFont val="Calibri"/>
        <family val="2"/>
      </rPr>
      <t>Strong analytical and problem-solving skills (ongoing process across the training days)</t>
    </r>
  </si>
  <si>
    <r>
      <t>·</t>
    </r>
    <r>
      <rPr>
        <sz val="7"/>
        <color theme="1"/>
        <rFont val="Times New Roman"/>
        <family val="1"/>
      </rPr>
      <t xml:space="preserve">         </t>
    </r>
    <r>
      <rPr>
        <sz val="12"/>
        <color theme="1"/>
        <rFont val="Calibri"/>
        <family val="2"/>
      </rPr>
      <t>Basic SQL knowledge for data validation and investigation</t>
    </r>
  </si>
  <si>
    <r>
      <t>·</t>
    </r>
    <r>
      <rPr>
        <sz val="7"/>
        <color theme="1"/>
        <rFont val="Times New Roman"/>
        <family val="1"/>
      </rPr>
      <t xml:space="preserve">         </t>
    </r>
    <r>
      <rPr>
        <sz val="12"/>
        <color theme="1"/>
        <rFont val="Calibri"/>
        <family val="2"/>
      </rPr>
      <t>Understanding of API testing principles using Postman, ReadyAPI, SOAP UI, or similar tools</t>
    </r>
  </si>
  <si>
    <r>
      <t>·</t>
    </r>
    <r>
      <rPr>
        <sz val="7"/>
        <color theme="1"/>
        <rFont val="Times New Roman"/>
        <family val="1"/>
      </rPr>
      <t xml:space="preserve">         </t>
    </r>
    <r>
      <rPr>
        <sz val="12"/>
        <color theme="1"/>
        <rFont val="Calibri"/>
        <family val="2"/>
      </rPr>
      <t>Ability to investigate application logs and analyse failures to support defect diagnosis</t>
    </r>
  </si>
  <si>
    <r>
      <t>·</t>
    </r>
    <r>
      <rPr>
        <sz val="7"/>
        <color theme="1"/>
        <rFont val="Times New Roman"/>
        <family val="1"/>
      </rPr>
      <t xml:space="preserve">         </t>
    </r>
    <r>
      <rPr>
        <sz val="12"/>
        <color theme="1"/>
        <rFont val="Calibri"/>
        <family val="2"/>
      </rPr>
      <t>Awareness of CI/CD concepts and how testing fits within deployment pipelines</t>
    </r>
  </si>
  <si>
    <r>
      <t>·</t>
    </r>
    <r>
      <rPr>
        <sz val="7"/>
        <color theme="1"/>
        <rFont val="Times New Roman"/>
        <family val="1"/>
      </rPr>
      <t xml:space="preserve">         </t>
    </r>
    <r>
      <rPr>
        <sz val="12"/>
        <color theme="1"/>
        <rFont val="Calibri"/>
        <family val="2"/>
      </rPr>
      <t xml:space="preserve">Understanding of test automation concepts </t>
    </r>
  </si>
  <si>
    <r>
      <t>·</t>
    </r>
    <r>
      <rPr>
        <sz val="7"/>
        <color theme="1"/>
        <rFont val="Times New Roman"/>
        <family val="1"/>
      </rPr>
      <t xml:space="preserve">         </t>
    </r>
    <r>
      <rPr>
        <sz val="12"/>
        <color theme="1"/>
        <rFont val="Calibri"/>
        <family val="2"/>
      </rPr>
      <t>Exposure to Playwright or willingness to learn quickly</t>
    </r>
  </si>
  <si>
    <r>
      <t>·</t>
    </r>
    <r>
      <rPr>
        <sz val="7"/>
        <color theme="1"/>
        <rFont val="Times New Roman"/>
        <family val="1"/>
      </rPr>
      <t xml:space="preserve">         </t>
    </r>
    <r>
      <rPr>
        <sz val="12"/>
        <color theme="1"/>
        <rFont val="Calibri"/>
        <family val="2"/>
      </rPr>
      <t>Exposure to low-code automation tools such as Leapwork</t>
    </r>
  </si>
  <si>
    <r>
      <t>·</t>
    </r>
    <r>
      <rPr>
        <sz val="7"/>
        <color theme="1"/>
        <rFont val="Times New Roman"/>
        <family val="1"/>
      </rPr>
      <t xml:space="preserve">         </t>
    </r>
    <r>
      <rPr>
        <sz val="12"/>
        <color theme="1"/>
        <rFont val="Calibri"/>
        <family val="2"/>
      </rPr>
      <t>Basic understanding of JavaScript/TypeScript to support automation and troubleshooting</t>
    </r>
  </si>
  <si>
    <t>Parameter</t>
  </si>
  <si>
    <t>Proposed Approach</t>
  </si>
  <si>
    <t>Duration</t>
  </si>
  <si>
    <t>21 days x 4 Days = 84 hours</t>
  </si>
  <si>
    <t>Delivery Format</t>
  </si>
  <si>
    <t>Instructor-led Online Sessions</t>
  </si>
  <si>
    <t>Target Outcome</t>
  </si>
  <si>
    <t>Level 1 QA / Test Automation Capability</t>
  </si>
  <si>
    <t>Primary Automation Technology</t>
  </si>
  <si>
    <t>Playwright with JavaScript/TypeScript</t>
  </si>
  <si>
    <t>Curriculum</t>
  </si>
  <si>
    <t>Day 1 — Testing Foundations: Consolidated Recap</t>
  </si>
  <si>
    <t>Topics</t>
  </si>
  <si>
    <t>Application Architecture for Testers: Frontend, Backend, APIs, Database</t>
  </si>
  <si>
    <t>Day 2 — HTML, CSS, DOM &amp; Web Fundamentals for Automation</t>
  </si>
  <si>
    <r>
      <t xml:space="preserve">HTML/CSS is treated as an </t>
    </r>
    <r>
      <rPr>
        <b/>
        <sz val="12"/>
        <color theme="1"/>
        <rFont val="Calibri"/>
        <family val="2"/>
      </rPr>
      <t>automation prerequisite</t>
    </r>
    <r>
      <rPr>
        <sz val="12"/>
        <color theme="1"/>
        <rFont val="Calibri"/>
        <family val="2"/>
      </rPr>
      <t>, not as frontend-development training.</t>
    </r>
  </si>
  <si>
    <t>How a Web Page is Structured</t>
  </si>
  <si>
    <t>HTML Document Structure</t>
  </si>
  <si>
    <t>Common HTML Elements: Input, Button, Link, Form, Select, Checkbox, Radio Button, Table</t>
  </si>
  <si>
    <t>IDs</t>
  </si>
  <si>
    <t>Classes</t>
  </si>
  <si>
    <t>Names</t>
  </si>
  <si>
    <t>Attributes</t>
  </si>
  <si>
    <t>Parent, Child and Sibling Relationships</t>
  </si>
  <si>
    <t>Introduction to Semantic HTML</t>
  </si>
  <si>
    <t>Accessibility Roles</t>
  </si>
  <si>
    <t>CSS Fundamentals Relevant to Automation</t>
  </si>
  <si>
    <t>CSS Selectors</t>
  </si>
  <si>
    <t>Element</t>
  </si>
  <si>
    <t>ID</t>
  </si>
  <si>
    <t>Class</t>
  </si>
  <si>
    <t>Attribute</t>
  </si>
  <si>
    <t>Descendant</t>
  </si>
  <si>
    <t>Understanding the DOM</t>
  </si>
  <si>
    <t>Browser Developer Tools</t>
  </si>
  <si>
    <t>Inspecting Elements</t>
  </si>
  <si>
    <t>Console Overview</t>
  </si>
  <si>
    <t>Network Tab Overview</t>
  </si>
  <si>
    <t>Understanding What Happens When a User Interacts with a Page</t>
  </si>
  <si>
    <t>Thinking About Web Elements from an Automation Perspective</t>
  </si>
  <si>
    <t>Hands-on</t>
  </si>
  <si>
    <t>Inspect a sample application</t>
  </si>
  <si>
    <t>Identify UI controls</t>
  </si>
  <si>
    <t>Examine attributes</t>
  </si>
  <si>
    <t>Explore DOM relationships</t>
  </si>
  <si>
    <t>Write basic CSS selectors</t>
  </si>
  <si>
    <t>Observe browser requests</t>
  </si>
  <si>
    <t>Day 3 — Practice Session 1: HTML/CSS, DOM &amp; Element Identification</t>
  </si>
  <si>
    <t>Day 4 — JavaScript Fundamentals for Testers – I</t>
  </si>
  <si>
    <t>They have done basic Java Hands-on – however since they come from no programming background, needs to be thoroughly done.</t>
  </si>
  <si>
    <t>Why Testers Need Programming</t>
  </si>
  <si>
    <t>What JavaScript Is</t>
  </si>
  <si>
    <t>Development Environment Setup</t>
  </si>
  <si>
    <t>Creating and Running the First Program</t>
  </si>
  <si>
    <t>Statements and Syntax</t>
  </si>
  <si>
    <t>Data Types: String, Number, Boolean</t>
  </si>
  <si>
    <t>Operators</t>
  </si>
  <si>
    <t>Comparison Operators</t>
  </si>
  <si>
    <t>Expected vs Actual Values</t>
  </si>
  <si>
    <t>Conditional Statements</t>
  </si>
  <si>
    <t>if</t>
  </si>
  <si>
    <t>else</t>
  </si>
  <si>
    <t>else if</t>
  </si>
  <si>
    <t>Logical Operators</t>
  </si>
  <si>
    <t>Console Output</t>
  </si>
  <si>
    <t>Reading Basic Errors</t>
  </si>
  <si>
    <t>Tester-Oriented Hands-on</t>
  </si>
  <si>
    <t>Compare expected and actual values</t>
  </si>
  <si>
    <t>Validate user input</t>
  </si>
  <si>
    <t>Check pass/fail conditions</t>
  </si>
  <si>
    <t>Validate ranges</t>
  </si>
  <si>
    <t>Write simple test-condition logic</t>
  </si>
  <si>
    <t>Day 5 — JavaScript Fundamentals for Testers – II</t>
  </si>
  <si>
    <t>Loops</t>
  </si>
  <si>
    <t>for</t>
  </si>
  <si>
    <t>while</t>
  </si>
  <si>
    <t>Functions</t>
  </si>
  <si>
    <t>Function Parameters</t>
  </si>
  <si>
    <t>Return Values</t>
  </si>
  <si>
    <t>Strings and Common String Operations</t>
  </si>
  <si>
    <t>Arrays</t>
  </si>
  <si>
    <t>Reading Values from Arrays</t>
  </si>
  <si>
    <t>Iterating Through Test Data</t>
  </si>
  <si>
    <t>Objects</t>
  </si>
  <si>
    <t>Key-Value Data</t>
  </si>
  <si>
    <t>Basic Error Handling</t>
  </si>
  <si>
    <t>Introduction to Debugging</t>
  </si>
  <si>
    <t>Reading Existing JavaScript Code</t>
  </si>
  <si>
    <t>Breaking a Problem into Small Logical Steps</t>
  </si>
  <si>
    <t>Sample Hands-on</t>
  </si>
  <si>
    <t>Store multiple test values</t>
  </si>
  <si>
    <t>Loop through test data</t>
  </si>
  <si>
    <t>Create reusable validation functions</t>
  </si>
  <si>
    <t>Work with user/test-data objects</t>
  </si>
  <si>
    <t>Diagnose simple code errors</t>
  </si>
  <si>
    <t>Day 6 — Practice Session 2: JavaScript Fundamentals - Coding Practice</t>
  </si>
  <si>
    <r>
      <t xml:space="preserve">Outcome: </t>
    </r>
    <r>
      <rPr>
        <sz val="14"/>
        <color theme="1"/>
        <rFont val="Calibri"/>
        <family val="2"/>
      </rPr>
      <t>Participants become comfortable enough with basic programming logic to move toward automation.</t>
    </r>
  </si>
  <si>
    <t>Day 7 — TypeScript Fundamentals for Test Automation</t>
  </si>
  <si>
    <t>JavaScript vs TypeScript</t>
  </si>
  <si>
    <t>Why Playwright Commonly Uses TypeScript</t>
  </si>
  <si>
    <t>TypeScript Project Basics</t>
  </si>
  <si>
    <t>Variables with Types</t>
  </si>
  <si>
    <t>String, Number and Boolean Types</t>
  </si>
  <si>
    <t>Function Parameters and Return Types</t>
  </si>
  <si>
    <t>Optional Values</t>
  </si>
  <si>
    <t>Basic Interfaces</t>
  </si>
  <si>
    <t>Type Safety</t>
  </si>
  <si>
    <t>Understanding Compiler Errors</t>
  </si>
  <si>
    <t>Reading TypeScript Automation Code</t>
  </si>
  <si>
    <t>Convert simple JavaScript examples to TypeScript</t>
  </si>
  <si>
    <t>Define typed test data</t>
  </si>
  <si>
    <t>Create simple interfaces</t>
  </si>
  <si>
    <t>Resolve common type errors</t>
  </si>
  <si>
    <t>Day 8 — TypeScript Programming Patterns Used in Automation</t>
  </si>
  <si>
    <t>The objective is not advanced TypeScript development, but understanding the language constructs participants will repeatedly encounter in Playwright.</t>
  </si>
  <si>
    <t>Arrow Functions</t>
  </si>
  <si>
    <t>Array Iteration</t>
  </si>
  <si>
    <t>Object Destructuring – Basic Awareness</t>
  </si>
  <si>
    <t>Import and Export</t>
  </si>
  <si>
    <t>Modules</t>
  </si>
  <si>
    <t>Exception Handling</t>
  </si>
  <si>
    <t>try / catch</t>
  </si>
  <si>
    <t>Introduction to Asynchronous Programming</t>
  </si>
  <si>
    <t>Why Browser Automation is Asynchronous</t>
  </si>
  <si>
    <t>Promises – Conceptual Understanding</t>
  </si>
  <si>
    <t>async</t>
  </si>
  <si>
    <t>await</t>
  </si>
  <si>
    <t>Reading Asynchronous Automation Code</t>
  </si>
  <si>
    <t>Basic Debugging Techniques</t>
  </si>
  <si>
    <t>Write async functions</t>
  </si>
  <si>
    <t>Use await</t>
  </si>
  <si>
    <t>Modify prepared TypeScript scripts</t>
  </si>
  <si>
    <t>Debug simple TypeScript programs</t>
  </si>
  <si>
    <t>Build small reusable test utilities</t>
  </si>
  <si>
    <t>Day 9 — Practice Session 3: JavaScript/TypeScript for Automation</t>
  </si>
  <si>
    <r>
      <t>·</t>
    </r>
    <r>
      <rPr>
        <sz val="7"/>
        <color theme="1"/>
        <rFont val="Times New Roman"/>
        <family val="1"/>
      </rPr>
      <t xml:space="preserve">        </t>
    </r>
    <r>
      <rPr>
        <b/>
        <sz val="14"/>
        <color theme="1"/>
        <rFont val="Calibri"/>
        <family val="2"/>
      </rPr>
      <t>Guided Programming Challenge</t>
    </r>
  </si>
  <si>
    <t>Day 10 — Test Automation Fundamentals &amp; Introduction to Playwright</t>
  </si>
  <si>
    <t>Test Automation Concepts</t>
  </si>
  <si>
    <t>What is Test Automation?</t>
  </si>
  <si>
    <t>Why Automate?</t>
  </si>
  <si>
    <t>Manual vs Automated Testing</t>
  </si>
  <si>
    <t>Benefits and Limitations</t>
  </si>
  <si>
    <t>What Should Be Automated?</t>
  </si>
  <si>
    <t>What Should Not Be Automated?</t>
  </si>
  <si>
    <t>Smoke Automation</t>
  </si>
  <si>
    <t>Regression Automation</t>
  </si>
  <si>
    <t>Understanding an Automated Test</t>
  </si>
  <si>
    <t>Playwright</t>
  </si>
  <si>
    <t>Introduction to Playwright</t>
  </si>
  <si>
    <t>Playwright Architecture</t>
  </si>
  <si>
    <t>Browser Automation Flow</t>
  </si>
  <si>
    <t>Project Setup</t>
  </si>
  <si>
    <t>Playwright Test Structure</t>
  </si>
  <si>
    <t>Creating the First Test</t>
  </si>
  <si>
    <t>Launching the Browser</t>
  </si>
  <si>
    <t>Opening an Application</t>
  </si>
  <si>
    <t>Navigation</t>
  </si>
  <si>
    <t>Running Tests</t>
  </si>
  <si>
    <t>Understanding Test Results</t>
  </si>
  <si>
    <t>Participants create and execute their first Playwright tests.</t>
  </si>
  <si>
    <t>Day 11 — Playwright Locators, Elements &amp; User Interactions</t>
  </si>
  <si>
    <r>
      <t>·</t>
    </r>
    <r>
      <rPr>
        <sz val="7"/>
        <color theme="1"/>
        <rFont val="Times New Roman"/>
        <family val="1"/>
      </rPr>
      <t xml:space="preserve">         </t>
    </r>
    <r>
      <rPr>
        <sz val="12"/>
        <color theme="1"/>
        <rFont val="Calibri"/>
        <family val="2"/>
      </rPr>
      <t>Understanding Playwright Locators</t>
    </r>
  </si>
  <si>
    <r>
      <t>·</t>
    </r>
    <r>
      <rPr>
        <sz val="7"/>
        <color theme="1"/>
        <rFont val="Times New Roman"/>
        <family val="1"/>
      </rPr>
      <t xml:space="preserve">         </t>
    </r>
    <r>
      <rPr>
        <sz val="12"/>
        <color theme="1"/>
        <rFont val="Calibri"/>
        <family val="2"/>
      </rPr>
      <t>Locator Philosophy and Reliability</t>
    </r>
  </si>
  <si>
    <r>
      <t>·</t>
    </r>
    <r>
      <rPr>
        <sz val="7"/>
        <color theme="1"/>
        <rFont val="Times New Roman"/>
        <family val="1"/>
      </rPr>
      <t xml:space="preserve">         </t>
    </r>
    <r>
      <rPr>
        <sz val="12"/>
        <color theme="1"/>
        <rFont val="Calibri"/>
        <family val="2"/>
      </rPr>
      <t>getByRole</t>
    </r>
  </si>
  <si>
    <r>
      <t>·</t>
    </r>
    <r>
      <rPr>
        <sz val="7"/>
        <color theme="1"/>
        <rFont val="Times New Roman"/>
        <family val="1"/>
      </rPr>
      <t xml:space="preserve">         </t>
    </r>
    <r>
      <rPr>
        <sz val="12"/>
        <color theme="1"/>
        <rFont val="Calibri"/>
        <family val="2"/>
      </rPr>
      <t>getByText</t>
    </r>
  </si>
  <si>
    <r>
      <t>·</t>
    </r>
    <r>
      <rPr>
        <sz val="7"/>
        <color theme="1"/>
        <rFont val="Times New Roman"/>
        <family val="1"/>
      </rPr>
      <t xml:space="preserve">         </t>
    </r>
    <r>
      <rPr>
        <sz val="12"/>
        <color theme="1"/>
        <rFont val="Calibri"/>
        <family val="2"/>
      </rPr>
      <t>getByLabel</t>
    </r>
  </si>
  <si>
    <r>
      <t>·</t>
    </r>
    <r>
      <rPr>
        <sz val="7"/>
        <color theme="1"/>
        <rFont val="Times New Roman"/>
        <family val="1"/>
      </rPr>
      <t xml:space="preserve">         </t>
    </r>
    <r>
      <rPr>
        <sz val="12"/>
        <color theme="1"/>
        <rFont val="Calibri"/>
        <family val="2"/>
      </rPr>
      <t>getByPlaceholder</t>
    </r>
  </si>
  <si>
    <r>
      <t>·</t>
    </r>
    <r>
      <rPr>
        <sz val="7"/>
        <color theme="1"/>
        <rFont val="Times New Roman"/>
        <family val="1"/>
      </rPr>
      <t xml:space="preserve">         </t>
    </r>
    <r>
      <rPr>
        <sz val="12"/>
        <color theme="1"/>
        <rFont val="Calibri"/>
        <family val="2"/>
      </rPr>
      <t>Test IDs</t>
    </r>
  </si>
  <si>
    <r>
      <t>·</t>
    </r>
    <r>
      <rPr>
        <sz val="7"/>
        <color theme="1"/>
        <rFont val="Times New Roman"/>
        <family val="1"/>
      </rPr>
      <t xml:space="preserve">         </t>
    </r>
    <r>
      <rPr>
        <sz val="12"/>
        <color theme="1"/>
        <rFont val="Calibri"/>
        <family val="2"/>
      </rPr>
      <t>CSS Locators</t>
    </r>
  </si>
  <si>
    <r>
      <t>·</t>
    </r>
    <r>
      <rPr>
        <sz val="7"/>
        <color theme="1"/>
        <rFont val="Times New Roman"/>
        <family val="1"/>
      </rPr>
      <t xml:space="preserve">         </t>
    </r>
    <r>
      <rPr>
        <sz val="12"/>
        <color theme="1"/>
        <rFont val="Calibri"/>
        <family val="2"/>
      </rPr>
      <t>XPath Awareness</t>
    </r>
  </si>
  <si>
    <r>
      <t>·</t>
    </r>
    <r>
      <rPr>
        <sz val="7"/>
        <color theme="1"/>
        <rFont val="Times New Roman"/>
        <family val="1"/>
      </rPr>
      <t xml:space="preserve">         </t>
    </r>
    <r>
      <rPr>
        <sz val="12"/>
        <color theme="1"/>
        <rFont val="Calibri"/>
        <family val="2"/>
      </rPr>
      <t>Choosing Reliable Locators</t>
    </r>
  </si>
  <si>
    <r>
      <t>·</t>
    </r>
    <r>
      <rPr>
        <sz val="7"/>
        <color theme="1"/>
        <rFont val="Times New Roman"/>
        <family val="1"/>
      </rPr>
      <t xml:space="preserve">         </t>
    </r>
    <r>
      <rPr>
        <sz val="12"/>
        <color theme="1"/>
        <rFont val="Calibri"/>
        <family val="2"/>
      </rPr>
      <t>Element Interaction</t>
    </r>
  </si>
  <si>
    <r>
      <t>o</t>
    </r>
    <r>
      <rPr>
        <sz val="7"/>
        <color theme="1"/>
        <rFont val="Times New Roman"/>
        <family val="1"/>
      </rPr>
      <t xml:space="preserve">    </t>
    </r>
    <r>
      <rPr>
        <sz val="12"/>
        <color theme="1"/>
        <rFont val="Calibri"/>
        <family val="2"/>
      </rPr>
      <t>Click</t>
    </r>
  </si>
  <si>
    <r>
      <t>o</t>
    </r>
    <r>
      <rPr>
        <sz val="7"/>
        <color theme="1"/>
        <rFont val="Times New Roman"/>
        <family val="1"/>
      </rPr>
      <t xml:space="preserve">    </t>
    </r>
    <r>
      <rPr>
        <sz val="12"/>
        <color theme="1"/>
        <rFont val="Calibri"/>
        <family val="2"/>
      </rPr>
      <t>Fill</t>
    </r>
  </si>
  <si>
    <r>
      <t>o</t>
    </r>
    <r>
      <rPr>
        <sz val="7"/>
        <color theme="1"/>
        <rFont val="Times New Roman"/>
        <family val="1"/>
      </rPr>
      <t xml:space="preserve">    </t>
    </r>
    <r>
      <rPr>
        <sz val="12"/>
        <color theme="1"/>
        <rFont val="Calibri"/>
        <family val="2"/>
      </rPr>
      <t>Type</t>
    </r>
  </si>
  <si>
    <r>
      <t>o</t>
    </r>
    <r>
      <rPr>
        <sz val="7"/>
        <color theme="1"/>
        <rFont val="Times New Roman"/>
        <family val="1"/>
      </rPr>
      <t xml:space="preserve">    </t>
    </r>
    <r>
      <rPr>
        <sz val="12"/>
        <color theme="1"/>
        <rFont val="Calibri"/>
        <family val="2"/>
      </rPr>
      <t>Clear</t>
    </r>
  </si>
  <si>
    <r>
      <t>o</t>
    </r>
    <r>
      <rPr>
        <sz val="7"/>
        <color theme="1"/>
        <rFont val="Times New Roman"/>
        <family val="1"/>
      </rPr>
      <t xml:space="preserve">    </t>
    </r>
    <r>
      <rPr>
        <sz val="12"/>
        <color theme="1"/>
        <rFont val="Calibri"/>
        <family val="2"/>
      </rPr>
      <t>Check</t>
    </r>
  </si>
  <si>
    <r>
      <t>o</t>
    </r>
    <r>
      <rPr>
        <sz val="7"/>
        <color theme="1"/>
        <rFont val="Times New Roman"/>
        <family val="1"/>
      </rPr>
      <t xml:space="preserve">    </t>
    </r>
    <r>
      <rPr>
        <sz val="12"/>
        <color theme="1"/>
        <rFont val="Calibri"/>
        <family val="2"/>
      </rPr>
      <t>Uncheck</t>
    </r>
  </si>
  <si>
    <r>
      <t>o</t>
    </r>
    <r>
      <rPr>
        <sz val="7"/>
        <color theme="1"/>
        <rFont val="Times New Roman"/>
        <family val="1"/>
      </rPr>
      <t xml:space="preserve">    </t>
    </r>
    <r>
      <rPr>
        <sz val="12"/>
        <color theme="1"/>
        <rFont val="Calibri"/>
        <family val="2"/>
      </rPr>
      <t>Select</t>
    </r>
  </si>
  <si>
    <r>
      <t>·</t>
    </r>
    <r>
      <rPr>
        <sz val="7"/>
        <color theme="1"/>
        <rFont val="Times New Roman"/>
        <family val="1"/>
      </rPr>
      <t xml:space="preserve">         </t>
    </r>
    <r>
      <rPr>
        <sz val="12"/>
        <color theme="1"/>
        <rFont val="Calibri"/>
        <family val="2"/>
      </rPr>
      <t>Reading Text</t>
    </r>
  </si>
  <si>
    <r>
      <t>·</t>
    </r>
    <r>
      <rPr>
        <sz val="7"/>
        <color theme="1"/>
        <rFont val="Times New Roman"/>
        <family val="1"/>
      </rPr>
      <t xml:space="preserve">         </t>
    </r>
    <r>
      <rPr>
        <sz val="12"/>
        <color theme="1"/>
        <rFont val="Calibri"/>
        <family val="2"/>
      </rPr>
      <t>Element State</t>
    </r>
  </si>
  <si>
    <r>
      <t>·</t>
    </r>
    <r>
      <rPr>
        <sz val="7"/>
        <color theme="1"/>
        <rFont val="Times New Roman"/>
        <family val="1"/>
      </rPr>
      <t xml:space="preserve">         </t>
    </r>
    <r>
      <rPr>
        <sz val="12"/>
        <color theme="1"/>
        <rFont val="Calibri"/>
        <family val="2"/>
      </rPr>
      <t>Page Title</t>
    </r>
  </si>
  <si>
    <r>
      <t>·</t>
    </r>
    <r>
      <rPr>
        <sz val="7"/>
        <color theme="1"/>
        <rFont val="Times New Roman"/>
        <family val="1"/>
      </rPr>
      <t xml:space="preserve">         </t>
    </r>
    <r>
      <rPr>
        <sz val="12"/>
        <color theme="1"/>
        <rFont val="Calibri"/>
        <family val="2"/>
      </rPr>
      <t>URL Validation</t>
    </r>
  </si>
  <si>
    <t>Automate:</t>
  </si>
  <si>
    <t>Login</t>
  </si>
  <si>
    <t>Registration forms</t>
  </si>
  <si>
    <t>Search</t>
  </si>
  <si>
    <t>Form submission</t>
  </si>
  <si>
    <t>Basic validation scenarios</t>
  </si>
  <si>
    <t>Day 12 — Practice Session 4: Basic Playwright Automation</t>
  </si>
  <si>
    <t>Participants convert manual test cases into Playwright automation.</t>
  </si>
  <si>
    <t>Day 13 — Playwright Assertions, Waits &amp; Dynamic Applications</t>
  </si>
  <si>
    <r>
      <t>·</t>
    </r>
    <r>
      <rPr>
        <sz val="7"/>
        <color theme="1"/>
        <rFont val="Times New Roman"/>
        <family val="1"/>
      </rPr>
      <t xml:space="preserve">         </t>
    </r>
    <r>
      <rPr>
        <sz val="12"/>
        <color theme="1"/>
        <rFont val="Calibri"/>
        <family val="2"/>
      </rPr>
      <t>Understanding Assertions</t>
    </r>
  </si>
  <si>
    <r>
      <t>·</t>
    </r>
    <r>
      <rPr>
        <sz val="7"/>
        <color theme="1"/>
        <rFont val="Times New Roman"/>
        <family val="1"/>
      </rPr>
      <t xml:space="preserve">         </t>
    </r>
    <r>
      <rPr>
        <sz val="12"/>
        <color theme="1"/>
        <rFont val="Calibri"/>
        <family val="2"/>
      </rPr>
      <t>Expected vs Actual Results</t>
    </r>
  </si>
  <si>
    <r>
      <t>·</t>
    </r>
    <r>
      <rPr>
        <sz val="7"/>
        <color theme="1"/>
        <rFont val="Times New Roman"/>
        <family val="1"/>
      </rPr>
      <t xml:space="preserve">         </t>
    </r>
    <r>
      <rPr>
        <sz val="12"/>
        <color theme="1"/>
        <rFont val="Calibri"/>
        <family val="2"/>
      </rPr>
      <t>Playwright expect</t>
    </r>
  </si>
  <si>
    <r>
      <t>·</t>
    </r>
    <r>
      <rPr>
        <sz val="7"/>
        <color theme="1"/>
        <rFont val="Times New Roman"/>
        <family val="1"/>
      </rPr>
      <t xml:space="preserve">         </t>
    </r>
    <r>
      <rPr>
        <sz val="12"/>
        <color theme="1"/>
        <rFont val="Calibri"/>
        <family val="2"/>
      </rPr>
      <t>Text Assertions</t>
    </r>
  </si>
  <si>
    <r>
      <t>·</t>
    </r>
    <r>
      <rPr>
        <sz val="7"/>
        <color theme="1"/>
        <rFont val="Times New Roman"/>
        <family val="1"/>
      </rPr>
      <t xml:space="preserve">         </t>
    </r>
    <r>
      <rPr>
        <sz val="12"/>
        <color theme="1"/>
        <rFont val="Calibri"/>
        <family val="2"/>
      </rPr>
      <t>Visibility Assertions</t>
    </r>
  </si>
  <si>
    <r>
      <t>·</t>
    </r>
    <r>
      <rPr>
        <sz val="7"/>
        <color theme="1"/>
        <rFont val="Times New Roman"/>
        <family val="1"/>
      </rPr>
      <t xml:space="preserve">         </t>
    </r>
    <r>
      <rPr>
        <sz val="12"/>
        <color theme="1"/>
        <rFont val="Calibri"/>
        <family val="2"/>
      </rPr>
      <t>URL Assertions</t>
    </r>
  </si>
  <si>
    <r>
      <t>·</t>
    </r>
    <r>
      <rPr>
        <sz val="7"/>
        <color theme="1"/>
        <rFont val="Times New Roman"/>
        <family val="1"/>
      </rPr>
      <t xml:space="preserve">         </t>
    </r>
    <r>
      <rPr>
        <sz val="12"/>
        <color theme="1"/>
        <rFont val="Calibri"/>
        <family val="2"/>
      </rPr>
      <t>Attribute Assertions</t>
    </r>
  </si>
  <si>
    <r>
      <t>·</t>
    </r>
    <r>
      <rPr>
        <sz val="7"/>
        <color theme="1"/>
        <rFont val="Times New Roman"/>
        <family val="1"/>
      </rPr>
      <t xml:space="preserve">         </t>
    </r>
    <r>
      <rPr>
        <sz val="12"/>
        <color theme="1"/>
        <rFont val="Calibri"/>
        <family val="2"/>
      </rPr>
      <t>Element State Assertions</t>
    </r>
  </si>
  <si>
    <r>
      <t>·</t>
    </r>
    <r>
      <rPr>
        <sz val="7"/>
        <color theme="1"/>
        <rFont val="Times New Roman"/>
        <family val="1"/>
      </rPr>
      <t xml:space="preserve">         </t>
    </r>
    <r>
      <rPr>
        <sz val="12"/>
        <color theme="1"/>
        <rFont val="Calibri"/>
        <family val="2"/>
      </rPr>
      <t>Understanding Synchronisation</t>
    </r>
  </si>
  <si>
    <r>
      <t>·</t>
    </r>
    <r>
      <rPr>
        <sz val="7"/>
        <color theme="1"/>
        <rFont val="Times New Roman"/>
        <family val="1"/>
      </rPr>
      <t xml:space="preserve">         </t>
    </r>
    <r>
      <rPr>
        <sz val="12"/>
        <color theme="1"/>
        <rFont val="Calibri"/>
        <family val="2"/>
      </rPr>
      <t>Why UI Automation Becomes Flaky</t>
    </r>
  </si>
  <si>
    <r>
      <t>·</t>
    </r>
    <r>
      <rPr>
        <sz val="7"/>
        <color theme="1"/>
        <rFont val="Times New Roman"/>
        <family val="1"/>
      </rPr>
      <t xml:space="preserve">         </t>
    </r>
    <r>
      <rPr>
        <sz val="12"/>
        <color theme="1"/>
        <rFont val="Calibri"/>
        <family val="2"/>
      </rPr>
      <t>Playwright Auto-Waiting</t>
    </r>
  </si>
  <si>
    <r>
      <t>·</t>
    </r>
    <r>
      <rPr>
        <sz val="7"/>
        <color theme="1"/>
        <rFont val="Times New Roman"/>
        <family val="1"/>
      </rPr>
      <t xml:space="preserve">         </t>
    </r>
    <r>
      <rPr>
        <sz val="12"/>
        <color theme="1"/>
        <rFont val="Calibri"/>
        <family val="2"/>
      </rPr>
      <t>Waiting for Conditions</t>
    </r>
  </si>
  <si>
    <r>
      <t>·</t>
    </r>
    <r>
      <rPr>
        <sz val="7"/>
        <color theme="1"/>
        <rFont val="Times New Roman"/>
        <family val="1"/>
      </rPr>
      <t xml:space="preserve">         </t>
    </r>
    <r>
      <rPr>
        <sz val="12"/>
        <color theme="1"/>
        <rFont val="Calibri"/>
        <family val="2"/>
      </rPr>
      <t>Dynamic Elements</t>
    </r>
  </si>
  <si>
    <r>
      <t>·</t>
    </r>
    <r>
      <rPr>
        <sz val="7"/>
        <color theme="1"/>
        <rFont val="Times New Roman"/>
        <family val="1"/>
      </rPr>
      <t xml:space="preserve">         </t>
    </r>
    <r>
      <rPr>
        <sz val="12"/>
        <color theme="1"/>
        <rFont val="Calibri"/>
        <family val="2"/>
      </rPr>
      <t>Loading States</t>
    </r>
  </si>
  <si>
    <r>
      <t>·</t>
    </r>
    <r>
      <rPr>
        <sz val="7"/>
        <color theme="1"/>
        <rFont val="Times New Roman"/>
        <family val="1"/>
      </rPr>
      <t xml:space="preserve">         </t>
    </r>
    <r>
      <rPr>
        <sz val="12"/>
        <color theme="1"/>
        <rFont val="Calibri"/>
        <family val="2"/>
      </rPr>
      <t>Common Timing Problems</t>
    </r>
  </si>
  <si>
    <r>
      <t>·</t>
    </r>
    <r>
      <rPr>
        <sz val="7"/>
        <color theme="1"/>
        <rFont val="Times New Roman"/>
        <family val="1"/>
      </rPr>
      <t xml:space="preserve">         </t>
    </r>
    <r>
      <rPr>
        <sz val="12"/>
        <color theme="1"/>
        <rFont val="Calibri"/>
        <family val="2"/>
      </rPr>
      <t>Handling Dropdowns</t>
    </r>
  </si>
  <si>
    <r>
      <t>·</t>
    </r>
    <r>
      <rPr>
        <sz val="7"/>
        <color theme="1"/>
        <rFont val="Times New Roman"/>
        <family val="1"/>
      </rPr>
      <t xml:space="preserve">         </t>
    </r>
    <r>
      <rPr>
        <sz val="12"/>
        <color theme="1"/>
        <rFont val="Calibri"/>
        <family val="2"/>
      </rPr>
      <t>Checkboxes</t>
    </r>
  </si>
  <si>
    <r>
      <t>·</t>
    </r>
    <r>
      <rPr>
        <sz val="7"/>
        <color theme="1"/>
        <rFont val="Times New Roman"/>
        <family val="1"/>
      </rPr>
      <t xml:space="preserve">         </t>
    </r>
    <r>
      <rPr>
        <sz val="12"/>
        <color theme="1"/>
        <rFont val="Calibri"/>
        <family val="2"/>
      </rPr>
      <t>Radio Buttons</t>
    </r>
  </si>
  <si>
    <r>
      <t>·</t>
    </r>
    <r>
      <rPr>
        <sz val="7"/>
        <color theme="1"/>
        <rFont val="Times New Roman"/>
        <family val="1"/>
      </rPr>
      <t xml:space="preserve">         </t>
    </r>
    <r>
      <rPr>
        <sz val="12"/>
        <color theme="1"/>
        <rFont val="Calibri"/>
        <family val="2"/>
      </rPr>
      <t>Dialogs and Alerts</t>
    </r>
  </si>
  <si>
    <r>
      <t>·</t>
    </r>
    <r>
      <rPr>
        <sz val="7"/>
        <color theme="1"/>
        <rFont val="Times New Roman"/>
        <family val="1"/>
      </rPr>
      <t xml:space="preserve">         </t>
    </r>
    <r>
      <rPr>
        <sz val="12"/>
        <color theme="1"/>
        <rFont val="Calibri"/>
        <family val="2"/>
      </rPr>
      <t>Basic Frames Awareness</t>
    </r>
  </si>
  <si>
    <r>
      <t>·</t>
    </r>
    <r>
      <rPr>
        <sz val="7"/>
        <color theme="1"/>
        <rFont val="Times New Roman"/>
        <family val="1"/>
      </rPr>
      <t xml:space="preserve">         </t>
    </r>
    <r>
      <rPr>
        <sz val="12"/>
        <color theme="1"/>
        <rFont val="Calibri"/>
        <family val="2"/>
      </rPr>
      <t>Common Playwright Errors</t>
    </r>
  </si>
  <si>
    <r>
      <t>·</t>
    </r>
    <r>
      <rPr>
        <sz val="7"/>
        <color theme="1"/>
        <rFont val="Times New Roman"/>
        <family val="1"/>
      </rPr>
      <t xml:space="preserve">         </t>
    </r>
    <r>
      <rPr>
        <sz val="12"/>
        <color theme="1"/>
        <rFont val="Calibri"/>
        <family val="2"/>
      </rPr>
      <t>Debugging Failed Tests</t>
    </r>
  </si>
  <si>
    <t>Participants automate dynamic application behaviour and diagnose failing tests.</t>
  </si>
  <si>
    <t>Day 14 — Playwright Test Design, Data &amp; Reusability</t>
  </si>
  <si>
    <r>
      <t>·</t>
    </r>
    <r>
      <rPr>
        <sz val="7"/>
        <color theme="1"/>
        <rFont val="Times New Roman"/>
        <family val="1"/>
      </rPr>
      <t xml:space="preserve">         </t>
    </r>
    <r>
      <rPr>
        <sz val="12"/>
        <color theme="1"/>
        <rFont val="Calibri"/>
        <family val="2"/>
      </rPr>
      <t>Structuring Multiple Tests</t>
    </r>
  </si>
  <si>
    <r>
      <t>·</t>
    </r>
    <r>
      <rPr>
        <sz val="7"/>
        <color theme="1"/>
        <rFont val="Times New Roman"/>
        <family val="1"/>
      </rPr>
      <t xml:space="preserve">         </t>
    </r>
    <r>
      <rPr>
        <sz val="12"/>
        <color theme="1"/>
        <rFont val="Calibri"/>
        <family val="2"/>
      </rPr>
      <t>Test Suites</t>
    </r>
  </si>
  <si>
    <r>
      <t>·</t>
    </r>
    <r>
      <rPr>
        <sz val="7"/>
        <color theme="1"/>
        <rFont val="Times New Roman"/>
        <family val="1"/>
      </rPr>
      <t xml:space="preserve">         </t>
    </r>
    <r>
      <rPr>
        <sz val="12"/>
        <color theme="1"/>
        <rFont val="Calibri"/>
        <family val="2"/>
      </rPr>
      <t>describe</t>
    </r>
  </si>
  <si>
    <r>
      <t>·</t>
    </r>
    <r>
      <rPr>
        <sz val="7"/>
        <color theme="1"/>
        <rFont val="Times New Roman"/>
        <family val="1"/>
      </rPr>
      <t xml:space="preserve">         </t>
    </r>
    <r>
      <rPr>
        <sz val="12"/>
        <color theme="1"/>
        <rFont val="Calibri"/>
        <family val="2"/>
      </rPr>
      <t>Test Hooks</t>
    </r>
  </si>
  <si>
    <r>
      <t>o</t>
    </r>
    <r>
      <rPr>
        <sz val="7"/>
        <color theme="1"/>
        <rFont val="Times New Roman"/>
        <family val="1"/>
      </rPr>
      <t xml:space="preserve">    </t>
    </r>
    <r>
      <rPr>
        <sz val="12"/>
        <color theme="1"/>
        <rFont val="Calibri"/>
        <family val="2"/>
      </rPr>
      <t>beforeEach</t>
    </r>
  </si>
  <si>
    <r>
      <t>o</t>
    </r>
    <r>
      <rPr>
        <sz val="7"/>
        <color theme="1"/>
        <rFont val="Times New Roman"/>
        <family val="1"/>
      </rPr>
      <t xml:space="preserve">    </t>
    </r>
    <r>
      <rPr>
        <sz val="12"/>
        <color theme="1"/>
        <rFont val="Calibri"/>
        <family val="2"/>
      </rPr>
      <t>afterEach</t>
    </r>
  </si>
  <si>
    <r>
      <t>·</t>
    </r>
    <r>
      <rPr>
        <sz val="7"/>
        <color theme="1"/>
        <rFont val="Times New Roman"/>
        <family val="1"/>
      </rPr>
      <t xml:space="preserve">         </t>
    </r>
    <r>
      <rPr>
        <sz val="12"/>
        <color theme="1"/>
        <rFont val="Calibri"/>
        <family val="2"/>
      </rPr>
      <t>Setup and Teardown Concepts</t>
    </r>
  </si>
  <si>
    <r>
      <t>·</t>
    </r>
    <r>
      <rPr>
        <sz val="7"/>
        <color theme="1"/>
        <rFont val="Times New Roman"/>
        <family val="1"/>
      </rPr>
      <t xml:space="preserve">         </t>
    </r>
    <r>
      <rPr>
        <sz val="12"/>
        <color theme="1"/>
        <rFont val="Calibri"/>
        <family val="2"/>
      </rPr>
      <t>Reusing Application State</t>
    </r>
  </si>
  <si>
    <r>
      <t>·</t>
    </r>
    <r>
      <rPr>
        <sz val="7"/>
        <color theme="1"/>
        <rFont val="Times New Roman"/>
        <family val="1"/>
      </rPr>
      <t xml:space="preserve">         </t>
    </r>
    <r>
      <rPr>
        <sz val="12"/>
        <color theme="1"/>
        <rFont val="Calibri"/>
        <family val="2"/>
      </rPr>
      <t>Test Data Management</t>
    </r>
  </si>
  <si>
    <r>
      <t>·</t>
    </r>
    <r>
      <rPr>
        <sz val="7"/>
        <color theme="1"/>
        <rFont val="Times New Roman"/>
        <family val="1"/>
      </rPr>
      <t xml:space="preserve">         </t>
    </r>
    <r>
      <rPr>
        <sz val="12"/>
        <color theme="1"/>
        <rFont val="Calibri"/>
        <family val="2"/>
      </rPr>
      <t>Parameterised Tests</t>
    </r>
  </si>
  <si>
    <r>
      <t>·</t>
    </r>
    <r>
      <rPr>
        <sz val="7"/>
        <color theme="1"/>
        <rFont val="Times New Roman"/>
        <family val="1"/>
      </rPr>
      <t xml:space="preserve">         </t>
    </r>
    <r>
      <rPr>
        <sz val="12"/>
        <color theme="1"/>
        <rFont val="Calibri"/>
        <family val="2"/>
      </rPr>
      <t>Data-Driven Testing</t>
    </r>
  </si>
  <si>
    <r>
      <t>·</t>
    </r>
    <r>
      <rPr>
        <sz val="7"/>
        <color theme="1"/>
        <rFont val="Times New Roman"/>
        <family val="1"/>
      </rPr>
      <t xml:space="preserve">         </t>
    </r>
    <r>
      <rPr>
        <sz val="12"/>
        <color theme="1"/>
        <rFont val="Calibri"/>
        <family val="2"/>
      </rPr>
      <t>Multiple User/Test Data Sets</t>
    </r>
  </si>
  <si>
    <r>
      <t>·</t>
    </r>
    <r>
      <rPr>
        <sz val="7"/>
        <color theme="1"/>
        <rFont val="Times New Roman"/>
        <family val="1"/>
      </rPr>
      <t xml:space="preserve">         </t>
    </r>
    <r>
      <rPr>
        <sz val="12"/>
        <color theme="1"/>
        <rFont val="Calibri"/>
        <family val="2"/>
      </rPr>
      <t>Reusable Functions</t>
    </r>
  </si>
  <si>
    <r>
      <t>·</t>
    </r>
    <r>
      <rPr>
        <sz val="7"/>
        <color theme="1"/>
        <rFont val="Times New Roman"/>
        <family val="1"/>
      </rPr>
      <t xml:space="preserve">         </t>
    </r>
    <r>
      <rPr>
        <sz val="12"/>
        <color theme="1"/>
        <rFont val="Calibri"/>
        <family val="2"/>
      </rPr>
      <t>Avoiding Repetitive Automation Code</t>
    </r>
  </si>
  <si>
    <r>
      <t>·</t>
    </r>
    <r>
      <rPr>
        <sz val="7"/>
        <color theme="1"/>
        <rFont val="Times New Roman"/>
        <family val="1"/>
      </rPr>
      <t xml:space="preserve">         </t>
    </r>
    <r>
      <rPr>
        <sz val="12"/>
        <color theme="1"/>
        <rFont val="Calibri"/>
        <family val="2"/>
      </rPr>
      <t>Positive and Negative Automation</t>
    </r>
  </si>
  <si>
    <r>
      <t>·</t>
    </r>
    <r>
      <rPr>
        <sz val="7"/>
        <color theme="1"/>
        <rFont val="Times New Roman"/>
        <family val="1"/>
      </rPr>
      <t xml:space="preserve">         </t>
    </r>
    <r>
      <rPr>
        <sz val="12"/>
        <color theme="1"/>
        <rFont val="Calibri"/>
        <family val="2"/>
      </rPr>
      <t>Building Smoke and Regression Test Sets</t>
    </r>
  </si>
  <si>
    <r>
      <t>·</t>
    </r>
    <r>
      <rPr>
        <sz val="7"/>
        <color theme="1"/>
        <rFont val="Times New Roman"/>
        <family val="1"/>
      </rPr>
      <t xml:space="preserve">         </t>
    </r>
    <r>
      <rPr>
        <sz val="12"/>
        <color theme="1"/>
        <rFont val="Calibri"/>
        <family val="2"/>
      </rPr>
      <t>Basic Test Organisation</t>
    </r>
  </si>
  <si>
    <t>Transform individual automation scripts into a structured mini automation suite.</t>
  </si>
  <si>
    <t>Day 15 — Practice Session 5: Playwright Automation Suite</t>
  </si>
  <si>
    <t>Extended Automation Challenge</t>
  </si>
  <si>
    <t>Participants build a mini automation suite covering a realistic workflow.</t>
  </si>
  <si>
    <t>Activities</t>
  </si>
  <si>
    <r>
      <t>·</t>
    </r>
    <r>
      <rPr>
        <sz val="7"/>
        <color theme="1"/>
        <rFont val="Times New Roman"/>
        <family val="1"/>
      </rPr>
      <t xml:space="preserve">         </t>
    </r>
    <r>
      <rPr>
        <sz val="12"/>
        <color theme="1"/>
        <rFont val="Calibri"/>
        <family val="2"/>
      </rPr>
      <t>Analyse requirements</t>
    </r>
  </si>
  <si>
    <r>
      <t>·</t>
    </r>
    <r>
      <rPr>
        <sz val="7"/>
        <color theme="1"/>
        <rFont val="Times New Roman"/>
        <family val="1"/>
      </rPr>
      <t xml:space="preserve">         </t>
    </r>
    <r>
      <rPr>
        <sz val="12"/>
        <color theme="1"/>
        <rFont val="Calibri"/>
        <family val="2"/>
      </rPr>
      <t>Select automation scenarios</t>
    </r>
  </si>
  <si>
    <r>
      <t>·</t>
    </r>
    <r>
      <rPr>
        <sz val="7"/>
        <color theme="1"/>
        <rFont val="Times New Roman"/>
        <family val="1"/>
      </rPr>
      <t xml:space="preserve">         </t>
    </r>
    <r>
      <rPr>
        <sz val="12"/>
        <color theme="1"/>
        <rFont val="Calibri"/>
        <family val="2"/>
      </rPr>
      <t>Create multiple Playwright tests</t>
    </r>
  </si>
  <si>
    <r>
      <t>·</t>
    </r>
    <r>
      <rPr>
        <sz val="7"/>
        <color theme="1"/>
        <rFont val="Times New Roman"/>
        <family val="1"/>
      </rPr>
      <t xml:space="preserve">         </t>
    </r>
    <r>
      <rPr>
        <sz val="12"/>
        <color theme="1"/>
        <rFont val="Calibri"/>
        <family val="2"/>
      </rPr>
      <t>Design reliable locators</t>
    </r>
  </si>
  <si>
    <r>
      <t>·</t>
    </r>
    <r>
      <rPr>
        <sz val="7"/>
        <color theme="1"/>
        <rFont val="Times New Roman"/>
        <family val="1"/>
      </rPr>
      <t xml:space="preserve">         </t>
    </r>
    <r>
      <rPr>
        <sz val="12"/>
        <color theme="1"/>
        <rFont val="Calibri"/>
        <family val="2"/>
      </rPr>
      <t>Add assertions</t>
    </r>
  </si>
  <si>
    <r>
      <t>·</t>
    </r>
    <r>
      <rPr>
        <sz val="7"/>
        <color theme="1"/>
        <rFont val="Times New Roman"/>
        <family val="1"/>
      </rPr>
      <t xml:space="preserve">         </t>
    </r>
    <r>
      <rPr>
        <sz val="12"/>
        <color theme="1"/>
        <rFont val="Calibri"/>
        <family val="2"/>
      </rPr>
      <t>Handle dynamic content</t>
    </r>
  </si>
  <si>
    <r>
      <t>·</t>
    </r>
    <r>
      <rPr>
        <sz val="7"/>
        <color theme="1"/>
        <rFont val="Times New Roman"/>
        <family val="1"/>
      </rPr>
      <t xml:space="preserve">         </t>
    </r>
    <r>
      <rPr>
        <sz val="12"/>
        <color theme="1"/>
        <rFont val="Calibri"/>
        <family val="2"/>
      </rPr>
      <t>Use hooks</t>
    </r>
  </si>
  <si>
    <r>
      <t>·</t>
    </r>
    <r>
      <rPr>
        <sz val="7"/>
        <color theme="1"/>
        <rFont val="Times New Roman"/>
        <family val="1"/>
      </rPr>
      <t xml:space="preserve">         </t>
    </r>
    <r>
      <rPr>
        <sz val="12"/>
        <color theme="1"/>
        <rFont val="Calibri"/>
        <family val="2"/>
      </rPr>
      <t>Implement test data</t>
    </r>
  </si>
  <si>
    <r>
      <t>·</t>
    </r>
    <r>
      <rPr>
        <sz val="7"/>
        <color theme="1"/>
        <rFont val="Times New Roman"/>
        <family val="1"/>
      </rPr>
      <t xml:space="preserve">         </t>
    </r>
    <r>
      <rPr>
        <sz val="12"/>
        <color theme="1"/>
        <rFont val="Calibri"/>
        <family val="2"/>
      </rPr>
      <t>Parameterise selected tests</t>
    </r>
  </si>
  <si>
    <r>
      <t>·</t>
    </r>
    <r>
      <rPr>
        <sz val="7"/>
        <color theme="1"/>
        <rFont val="Times New Roman"/>
        <family val="1"/>
      </rPr>
      <t xml:space="preserve">         </t>
    </r>
    <r>
      <rPr>
        <sz val="12"/>
        <color theme="1"/>
        <rFont val="Calibri"/>
        <family val="2"/>
      </rPr>
      <t>Create smoke/regression groups</t>
    </r>
  </si>
  <si>
    <r>
      <t>·</t>
    </r>
    <r>
      <rPr>
        <sz val="7"/>
        <color theme="1"/>
        <rFont val="Times New Roman"/>
        <family val="1"/>
      </rPr>
      <t xml:space="preserve">         </t>
    </r>
    <r>
      <rPr>
        <sz val="12"/>
        <color theme="1"/>
        <rFont val="Calibri"/>
        <family val="2"/>
      </rPr>
      <t>Execute the suite</t>
    </r>
  </si>
  <si>
    <r>
      <t>·</t>
    </r>
    <r>
      <rPr>
        <sz val="7"/>
        <color theme="1"/>
        <rFont val="Times New Roman"/>
        <family val="1"/>
      </rPr>
      <t xml:space="preserve">         </t>
    </r>
    <r>
      <rPr>
        <sz val="12"/>
        <color theme="1"/>
        <rFont val="Calibri"/>
        <family val="2"/>
      </rPr>
      <t>Investigate failures</t>
    </r>
  </si>
  <si>
    <r>
      <t>·</t>
    </r>
    <r>
      <rPr>
        <sz val="7"/>
        <color theme="1"/>
        <rFont val="Times New Roman"/>
        <family val="1"/>
      </rPr>
      <t xml:space="preserve">         </t>
    </r>
    <r>
      <rPr>
        <sz val="12"/>
        <color theme="1"/>
        <rFont val="Calibri"/>
        <family val="2"/>
      </rPr>
      <t>Debug failed tests</t>
    </r>
  </si>
  <si>
    <t>Outcome</t>
  </si>
  <si>
    <r>
      <t xml:space="preserve">A functioning </t>
    </r>
    <r>
      <rPr>
        <b/>
        <sz val="12"/>
        <color theme="1"/>
        <rFont val="Calibri"/>
        <family val="2"/>
      </rPr>
      <t>Level 1 Playwright automation suite</t>
    </r>
    <r>
      <rPr>
        <sz val="12"/>
        <color theme="1"/>
        <rFont val="Calibri"/>
        <family val="2"/>
      </rPr>
      <t>.</t>
    </r>
  </si>
  <si>
    <t>Day 16 — Applied Playwright: POM, API Integration, Debugging &amp; Reporting</t>
  </si>
  <si>
    <t>Page Object Model</t>
  </si>
  <si>
    <r>
      <t>·</t>
    </r>
    <r>
      <rPr>
        <sz val="7"/>
        <color theme="1"/>
        <rFont val="Times New Roman"/>
        <family val="1"/>
      </rPr>
      <t xml:space="preserve">         </t>
    </r>
    <r>
      <rPr>
        <sz val="12"/>
        <color theme="1"/>
        <rFont val="Calibri"/>
        <family val="2"/>
      </rPr>
      <t>Why Automation Becomes Difficult to Maintain</t>
    </r>
  </si>
  <si>
    <r>
      <t>·</t>
    </r>
    <r>
      <rPr>
        <sz val="7"/>
        <color theme="1"/>
        <rFont val="Times New Roman"/>
        <family val="1"/>
      </rPr>
      <t xml:space="preserve">         </t>
    </r>
    <r>
      <rPr>
        <sz val="12"/>
        <color theme="1"/>
        <rFont val="Calibri"/>
        <family val="2"/>
      </rPr>
      <t>Introduction to Page Object Model</t>
    </r>
  </si>
  <si>
    <r>
      <t>·</t>
    </r>
    <r>
      <rPr>
        <sz val="7"/>
        <color theme="1"/>
        <rFont val="Times New Roman"/>
        <family val="1"/>
      </rPr>
      <t xml:space="preserve">         </t>
    </r>
    <r>
      <rPr>
        <sz val="12"/>
        <color theme="1"/>
        <rFont val="Calibri"/>
        <family val="2"/>
      </rPr>
      <t>Page Classes</t>
    </r>
  </si>
  <si>
    <r>
      <t>·</t>
    </r>
    <r>
      <rPr>
        <sz val="7"/>
        <color theme="1"/>
        <rFont val="Times New Roman"/>
        <family val="1"/>
      </rPr>
      <t xml:space="preserve">         </t>
    </r>
    <r>
      <rPr>
        <sz val="12"/>
        <color theme="1"/>
        <rFont val="Calibri"/>
        <family val="2"/>
      </rPr>
      <t>Test Classes</t>
    </r>
  </si>
  <si>
    <r>
      <t>·</t>
    </r>
    <r>
      <rPr>
        <sz val="7"/>
        <color theme="1"/>
        <rFont val="Times New Roman"/>
        <family val="1"/>
      </rPr>
      <t xml:space="preserve">         </t>
    </r>
    <r>
      <rPr>
        <sz val="12"/>
        <color theme="1"/>
        <rFont val="Calibri"/>
        <family val="2"/>
      </rPr>
      <t>Separating Page Interaction from Test Logic</t>
    </r>
  </si>
  <si>
    <r>
      <t>·</t>
    </r>
    <r>
      <rPr>
        <sz val="7"/>
        <color theme="1"/>
        <rFont val="Times New Roman"/>
        <family val="1"/>
      </rPr>
      <t xml:space="preserve">         </t>
    </r>
    <r>
      <rPr>
        <sz val="12"/>
        <color theme="1"/>
        <rFont val="Calibri"/>
        <family val="2"/>
      </rPr>
      <t>Creating Reusable Page Methods</t>
    </r>
  </si>
  <si>
    <r>
      <t>·</t>
    </r>
    <r>
      <rPr>
        <sz val="7"/>
        <color theme="1"/>
        <rFont val="Times New Roman"/>
        <family val="1"/>
      </rPr>
      <t xml:space="preserve">         </t>
    </r>
    <r>
      <rPr>
        <sz val="12"/>
        <color theme="1"/>
        <rFont val="Calibri"/>
        <family val="2"/>
      </rPr>
      <t>Basic POM Structure</t>
    </r>
  </si>
  <si>
    <t>Playwright Debugging</t>
  </si>
  <si>
    <r>
      <t>·</t>
    </r>
    <r>
      <rPr>
        <sz val="7"/>
        <color theme="1"/>
        <rFont val="Times New Roman"/>
        <family val="1"/>
      </rPr>
      <t xml:space="preserve">         </t>
    </r>
    <r>
      <rPr>
        <sz val="12"/>
        <color theme="1"/>
        <rFont val="Calibri"/>
        <family val="2"/>
      </rPr>
      <t>Debug Mode</t>
    </r>
  </si>
  <si>
    <r>
      <t>·</t>
    </r>
    <r>
      <rPr>
        <sz val="7"/>
        <color theme="1"/>
        <rFont val="Times New Roman"/>
        <family val="1"/>
      </rPr>
      <t xml:space="preserve">         </t>
    </r>
    <r>
      <rPr>
        <sz val="12"/>
        <color theme="1"/>
        <rFont val="Calibri"/>
        <family val="2"/>
      </rPr>
      <t>Playwright Inspector</t>
    </r>
  </si>
  <si>
    <r>
      <t>·</t>
    </r>
    <r>
      <rPr>
        <sz val="7"/>
        <color theme="1"/>
        <rFont val="Times New Roman"/>
        <family val="1"/>
      </rPr>
      <t xml:space="preserve">         </t>
    </r>
    <r>
      <rPr>
        <sz val="12"/>
        <color theme="1"/>
        <rFont val="Calibri"/>
        <family val="2"/>
      </rPr>
      <t>Screenshots</t>
    </r>
  </si>
  <si>
    <r>
      <t>·</t>
    </r>
    <r>
      <rPr>
        <sz val="7"/>
        <color theme="1"/>
        <rFont val="Times New Roman"/>
        <family val="1"/>
      </rPr>
      <t xml:space="preserve">         </t>
    </r>
    <r>
      <rPr>
        <sz val="12"/>
        <color theme="1"/>
        <rFont val="Calibri"/>
        <family val="2"/>
      </rPr>
      <t>Trace Awareness</t>
    </r>
  </si>
  <si>
    <r>
      <t>·</t>
    </r>
    <r>
      <rPr>
        <sz val="7"/>
        <color theme="1"/>
        <rFont val="Times New Roman"/>
        <family val="1"/>
      </rPr>
      <t xml:space="preserve">         </t>
    </r>
    <r>
      <rPr>
        <sz val="12"/>
        <color theme="1"/>
        <rFont val="Calibri"/>
        <family val="2"/>
      </rPr>
      <t>Reading Test Failures</t>
    </r>
  </si>
  <si>
    <t>Reporting</t>
  </si>
  <si>
    <r>
      <t>·</t>
    </r>
    <r>
      <rPr>
        <sz val="7"/>
        <color theme="1"/>
        <rFont val="Times New Roman"/>
        <family val="1"/>
      </rPr>
      <t xml:space="preserve">         </t>
    </r>
    <r>
      <rPr>
        <sz val="12"/>
        <color theme="1"/>
        <rFont val="Calibri"/>
        <family val="2"/>
      </rPr>
      <t>HTML Test Reports</t>
    </r>
  </si>
  <si>
    <r>
      <t>·</t>
    </r>
    <r>
      <rPr>
        <sz val="7"/>
        <color theme="1"/>
        <rFont val="Times New Roman"/>
        <family val="1"/>
      </rPr>
      <t xml:space="preserve">         </t>
    </r>
    <r>
      <rPr>
        <sz val="12"/>
        <color theme="1"/>
        <rFont val="Calibri"/>
        <family val="2"/>
      </rPr>
      <t>Passed / Failed / Skipped Tests</t>
    </r>
  </si>
  <si>
    <r>
      <t>·</t>
    </r>
    <r>
      <rPr>
        <sz val="7"/>
        <color theme="1"/>
        <rFont val="Times New Roman"/>
        <family val="1"/>
      </rPr>
      <t xml:space="preserve">         </t>
    </r>
    <r>
      <rPr>
        <sz val="12"/>
        <color theme="1"/>
        <rFont val="Calibri"/>
        <family val="2"/>
      </rPr>
      <t>Failure Evidence</t>
    </r>
  </si>
  <si>
    <t>Introduction to API-Assisted Playwright Testing</t>
  </si>
  <si>
    <t>Why UI Tests Sometimes Use APIs</t>
  </si>
  <si>
    <t>Using API Calls for Test Setup</t>
  </si>
  <si>
    <t>Creating Test Data through API</t>
  </si>
  <si>
    <t>UI Verification after API Setup</t>
  </si>
  <si>
    <t>API Validation after UI Activity</t>
  </si>
  <si>
    <t>Day 17 — API Testing &amp; SQL Validation for Automation Testers</t>
  </si>
  <si>
    <t>API Testing</t>
  </si>
  <si>
    <r>
      <t>·</t>
    </r>
    <r>
      <rPr>
        <sz val="7"/>
        <color theme="1"/>
        <rFont val="Times New Roman"/>
        <family val="1"/>
      </rPr>
      <t xml:space="preserve">         </t>
    </r>
    <r>
      <rPr>
        <sz val="12"/>
        <color theme="1"/>
        <rFont val="Calibri"/>
        <family val="2"/>
      </rPr>
      <t>REST API Fundamentals</t>
    </r>
  </si>
  <si>
    <r>
      <t>·</t>
    </r>
    <r>
      <rPr>
        <sz val="7"/>
        <color theme="1"/>
        <rFont val="Times New Roman"/>
        <family val="1"/>
      </rPr>
      <t xml:space="preserve">         </t>
    </r>
    <r>
      <rPr>
        <sz val="12"/>
        <color theme="1"/>
        <rFont val="Calibri"/>
        <family val="2"/>
      </rPr>
      <t>Endpoint</t>
    </r>
  </si>
  <si>
    <r>
      <t>·</t>
    </r>
    <r>
      <rPr>
        <sz val="7"/>
        <color theme="1"/>
        <rFont val="Times New Roman"/>
        <family val="1"/>
      </rPr>
      <t xml:space="preserve">         </t>
    </r>
    <r>
      <rPr>
        <sz val="12"/>
        <color theme="1"/>
        <rFont val="Calibri"/>
        <family val="2"/>
      </rPr>
      <t>Request</t>
    </r>
  </si>
  <si>
    <r>
      <t>·</t>
    </r>
    <r>
      <rPr>
        <sz val="7"/>
        <color theme="1"/>
        <rFont val="Times New Roman"/>
        <family val="1"/>
      </rPr>
      <t xml:space="preserve">         </t>
    </r>
    <r>
      <rPr>
        <sz val="12"/>
        <color theme="1"/>
        <rFont val="Calibri"/>
        <family val="2"/>
      </rPr>
      <t>Response</t>
    </r>
  </si>
  <si>
    <t>HTTP Methods: GET, POST, PUT/PATCH, DELETE</t>
  </si>
  <si>
    <r>
      <t>·</t>
    </r>
    <r>
      <rPr>
        <sz val="7"/>
        <color theme="1"/>
        <rFont val="Times New Roman"/>
        <family val="1"/>
      </rPr>
      <t xml:space="preserve">         </t>
    </r>
    <r>
      <rPr>
        <sz val="12"/>
        <color theme="1"/>
        <rFont val="Calibri"/>
        <family val="2"/>
      </rPr>
      <t>Status Codes</t>
    </r>
  </si>
  <si>
    <r>
      <t>·</t>
    </r>
    <r>
      <rPr>
        <sz val="7"/>
        <color theme="1"/>
        <rFont val="Times New Roman"/>
        <family val="1"/>
      </rPr>
      <t xml:space="preserve">         </t>
    </r>
    <r>
      <rPr>
        <sz val="12"/>
        <color theme="1"/>
        <rFont val="Calibri"/>
        <family val="2"/>
      </rPr>
      <t>Headers</t>
    </r>
  </si>
  <si>
    <r>
      <t>·</t>
    </r>
    <r>
      <rPr>
        <sz val="7"/>
        <color theme="1"/>
        <rFont val="Times New Roman"/>
        <family val="1"/>
      </rPr>
      <t xml:space="preserve">         </t>
    </r>
    <r>
      <rPr>
        <sz val="12"/>
        <color theme="1"/>
        <rFont val="Calibri"/>
        <family val="2"/>
      </rPr>
      <t>Parameters</t>
    </r>
  </si>
  <si>
    <r>
      <t>·</t>
    </r>
    <r>
      <rPr>
        <sz val="7"/>
        <color theme="1"/>
        <rFont val="Times New Roman"/>
        <family val="1"/>
      </rPr>
      <t xml:space="preserve">         </t>
    </r>
    <r>
      <rPr>
        <sz val="12"/>
        <color theme="1"/>
        <rFont val="Calibri"/>
        <family val="2"/>
      </rPr>
      <t>JSON</t>
    </r>
  </si>
  <si>
    <r>
      <t>·</t>
    </r>
    <r>
      <rPr>
        <sz val="7"/>
        <color theme="1"/>
        <rFont val="Times New Roman"/>
        <family val="1"/>
      </rPr>
      <t xml:space="preserve">         </t>
    </r>
    <r>
      <rPr>
        <sz val="12"/>
        <color theme="1"/>
        <rFont val="Calibri"/>
        <family val="2"/>
      </rPr>
      <t>Postman</t>
    </r>
  </si>
  <si>
    <r>
      <t>·</t>
    </r>
    <r>
      <rPr>
        <sz val="7"/>
        <color theme="1"/>
        <rFont val="Times New Roman"/>
        <family val="1"/>
      </rPr>
      <t xml:space="preserve">         </t>
    </r>
    <r>
      <rPr>
        <sz val="12"/>
        <color theme="1"/>
        <rFont val="Calibri"/>
        <family val="2"/>
      </rPr>
      <t>Positive Testing</t>
    </r>
  </si>
  <si>
    <r>
      <t>·</t>
    </r>
    <r>
      <rPr>
        <sz val="7"/>
        <color theme="1"/>
        <rFont val="Times New Roman"/>
        <family val="1"/>
      </rPr>
      <t xml:space="preserve">         </t>
    </r>
    <r>
      <rPr>
        <sz val="12"/>
        <color theme="1"/>
        <rFont val="Calibri"/>
        <family val="2"/>
      </rPr>
      <t>Negative Testing</t>
    </r>
  </si>
  <si>
    <r>
      <t>·</t>
    </r>
    <r>
      <rPr>
        <sz val="7"/>
        <color theme="1"/>
        <rFont val="Times New Roman"/>
        <family val="1"/>
      </rPr>
      <t xml:space="preserve">         </t>
    </r>
    <r>
      <rPr>
        <sz val="12"/>
        <color theme="1"/>
        <rFont val="Calibri"/>
        <family val="2"/>
      </rPr>
      <t>Response Validation</t>
    </r>
  </si>
  <si>
    <r>
      <t>·</t>
    </r>
    <r>
      <rPr>
        <sz val="7"/>
        <color theme="1"/>
        <rFont val="Times New Roman"/>
        <family val="1"/>
      </rPr>
      <t xml:space="preserve">         </t>
    </r>
    <r>
      <rPr>
        <sz val="12"/>
        <color theme="1"/>
        <rFont val="Calibri"/>
        <family val="2"/>
      </rPr>
      <t>Postman Collections</t>
    </r>
  </si>
  <si>
    <r>
      <t>·</t>
    </r>
    <r>
      <rPr>
        <sz val="7"/>
        <color theme="1"/>
        <rFont val="Times New Roman"/>
        <family val="1"/>
      </rPr>
      <t xml:space="preserve">         </t>
    </r>
    <r>
      <rPr>
        <sz val="12"/>
        <color theme="1"/>
        <rFont val="Calibri"/>
        <family val="2"/>
      </rPr>
      <t>Variables</t>
    </r>
  </si>
  <si>
    <r>
      <t>·</t>
    </r>
    <r>
      <rPr>
        <sz val="7"/>
        <color theme="1"/>
        <rFont val="Times New Roman"/>
        <family val="1"/>
      </rPr>
      <t xml:space="preserve">         </t>
    </r>
    <r>
      <rPr>
        <sz val="12"/>
        <color theme="1"/>
        <rFont val="Calibri"/>
        <family val="2"/>
      </rPr>
      <t>Basic Assertions</t>
    </r>
  </si>
  <si>
    <r>
      <t>·</t>
    </r>
    <r>
      <rPr>
        <sz val="7"/>
        <color theme="1"/>
        <rFont val="Times New Roman"/>
        <family val="1"/>
      </rPr>
      <t xml:space="preserve">         </t>
    </r>
    <r>
      <rPr>
        <sz val="12"/>
        <color theme="1"/>
        <rFont val="Calibri"/>
        <family val="2"/>
      </rPr>
      <t>Relationship Between API Testing and Playwright</t>
    </r>
  </si>
  <si>
    <t>Example</t>
  </si>
  <si>
    <t>API creates test data → Playwright validates it in UI</t>
  </si>
  <si>
    <t>or</t>
  </si>
  <si>
    <t>Playwright performs UI transaction → API verifies backend result</t>
  </si>
  <si>
    <t>SQL for Testers</t>
  </si>
  <si>
    <r>
      <t>·</t>
    </r>
    <r>
      <rPr>
        <sz val="7"/>
        <color theme="1"/>
        <rFont val="Times New Roman"/>
        <family val="1"/>
      </rPr>
      <t xml:space="preserve">         </t>
    </r>
    <r>
      <rPr>
        <sz val="12"/>
        <color theme="1"/>
        <rFont val="Calibri"/>
        <family val="2"/>
      </rPr>
      <t>Understanding Application Databases</t>
    </r>
  </si>
  <si>
    <r>
      <t>·</t>
    </r>
    <r>
      <rPr>
        <sz val="7"/>
        <color theme="1"/>
        <rFont val="Times New Roman"/>
        <family val="1"/>
      </rPr>
      <t xml:space="preserve">         </t>
    </r>
    <r>
      <rPr>
        <sz val="12"/>
        <color theme="1"/>
        <rFont val="Calibri"/>
        <family val="2"/>
      </rPr>
      <t>Tables, Rows and Columns</t>
    </r>
  </si>
  <si>
    <r>
      <t>·</t>
    </r>
    <r>
      <rPr>
        <sz val="7"/>
        <color theme="1"/>
        <rFont val="Times New Roman"/>
        <family val="1"/>
      </rPr>
      <t xml:space="preserve">         </t>
    </r>
    <r>
      <rPr>
        <sz val="12"/>
        <color theme="1"/>
        <rFont val="Calibri"/>
        <family val="2"/>
      </rPr>
      <t>Primary Keys</t>
    </r>
  </si>
  <si>
    <r>
      <t>·</t>
    </r>
    <r>
      <rPr>
        <sz val="7"/>
        <color theme="1"/>
        <rFont val="Times New Roman"/>
        <family val="1"/>
      </rPr>
      <t xml:space="preserve">         </t>
    </r>
    <r>
      <rPr>
        <sz val="12"/>
        <color theme="1"/>
        <rFont val="Calibri"/>
        <family val="2"/>
      </rPr>
      <t>Relationships</t>
    </r>
  </si>
  <si>
    <r>
      <t>·</t>
    </r>
    <r>
      <rPr>
        <sz val="7"/>
        <color theme="1"/>
        <rFont val="Times New Roman"/>
        <family val="1"/>
      </rPr>
      <t xml:space="preserve">         </t>
    </r>
    <r>
      <rPr>
        <sz val="12"/>
        <color theme="1"/>
        <rFont val="Calibri"/>
        <family val="2"/>
      </rPr>
      <t>SELECT</t>
    </r>
  </si>
  <si>
    <r>
      <t>·</t>
    </r>
    <r>
      <rPr>
        <sz val="7"/>
        <color theme="1"/>
        <rFont val="Times New Roman"/>
        <family val="1"/>
      </rPr>
      <t xml:space="preserve">         </t>
    </r>
    <r>
      <rPr>
        <sz val="12"/>
        <color theme="1"/>
        <rFont val="Calibri"/>
        <family val="2"/>
      </rPr>
      <t>WHERE</t>
    </r>
  </si>
  <si>
    <r>
      <t>·</t>
    </r>
    <r>
      <rPr>
        <sz val="7"/>
        <color theme="1"/>
        <rFont val="Times New Roman"/>
        <family val="1"/>
      </rPr>
      <t xml:space="preserve">         </t>
    </r>
    <r>
      <rPr>
        <sz val="12"/>
        <color theme="1"/>
        <rFont val="Calibri"/>
        <family val="2"/>
      </rPr>
      <t>AND / OR</t>
    </r>
  </si>
  <si>
    <r>
      <t>·</t>
    </r>
    <r>
      <rPr>
        <sz val="7"/>
        <color theme="1"/>
        <rFont val="Times New Roman"/>
        <family val="1"/>
      </rPr>
      <t xml:space="preserve">         </t>
    </r>
    <r>
      <rPr>
        <sz val="12"/>
        <color theme="1"/>
        <rFont val="Calibri"/>
        <family val="2"/>
      </rPr>
      <t>LIKE</t>
    </r>
  </si>
  <si>
    <r>
      <t>·</t>
    </r>
    <r>
      <rPr>
        <sz val="7"/>
        <color theme="1"/>
        <rFont val="Times New Roman"/>
        <family val="1"/>
      </rPr>
      <t xml:space="preserve">         </t>
    </r>
    <r>
      <rPr>
        <sz val="12"/>
        <color theme="1"/>
        <rFont val="Calibri"/>
        <family val="2"/>
      </rPr>
      <t>ORDER BY</t>
    </r>
  </si>
  <si>
    <r>
      <t>·</t>
    </r>
    <r>
      <rPr>
        <sz val="7"/>
        <color theme="1"/>
        <rFont val="Times New Roman"/>
        <family val="1"/>
      </rPr>
      <t xml:space="preserve">         </t>
    </r>
    <r>
      <rPr>
        <sz val="12"/>
        <color theme="1"/>
        <rFont val="Calibri"/>
        <family val="2"/>
      </rPr>
      <t>NULL</t>
    </r>
  </si>
  <si>
    <r>
      <t>·</t>
    </r>
    <r>
      <rPr>
        <sz val="7"/>
        <color theme="1"/>
        <rFont val="Times New Roman"/>
        <family val="1"/>
      </rPr>
      <t xml:space="preserve">         </t>
    </r>
    <r>
      <rPr>
        <sz val="12"/>
        <color theme="1"/>
        <rFont val="Calibri"/>
        <family val="2"/>
      </rPr>
      <t>Basic Aggregation</t>
    </r>
  </si>
  <si>
    <r>
      <t>·</t>
    </r>
    <r>
      <rPr>
        <sz val="7"/>
        <color theme="1"/>
        <rFont val="Times New Roman"/>
        <family val="1"/>
      </rPr>
      <t xml:space="preserve">         </t>
    </r>
    <r>
      <rPr>
        <sz val="12"/>
        <color theme="1"/>
        <rFont val="Calibri"/>
        <family val="2"/>
      </rPr>
      <t>Basic JOIN</t>
    </r>
  </si>
  <si>
    <r>
      <t>·</t>
    </r>
    <r>
      <rPr>
        <sz val="7"/>
        <color theme="1"/>
        <rFont val="Times New Roman"/>
        <family val="1"/>
      </rPr>
      <t xml:space="preserve">         </t>
    </r>
    <r>
      <rPr>
        <sz val="12"/>
        <color theme="1"/>
        <rFont val="Calibri"/>
        <family val="2"/>
      </rPr>
      <t>Verifying Created Records</t>
    </r>
  </si>
  <si>
    <r>
      <t>·</t>
    </r>
    <r>
      <rPr>
        <sz val="7"/>
        <color theme="1"/>
        <rFont val="Times New Roman"/>
        <family val="1"/>
      </rPr>
      <t xml:space="preserve">         </t>
    </r>
    <r>
      <rPr>
        <sz val="12"/>
        <color theme="1"/>
        <rFont val="Calibri"/>
        <family val="2"/>
      </rPr>
      <t>Verifying Updated Records</t>
    </r>
  </si>
  <si>
    <r>
      <t>·</t>
    </r>
    <r>
      <rPr>
        <sz val="7"/>
        <color theme="1"/>
        <rFont val="Times New Roman"/>
        <family val="1"/>
      </rPr>
      <t xml:space="preserve">         </t>
    </r>
    <r>
      <rPr>
        <sz val="12"/>
        <color theme="1"/>
        <rFont val="Calibri"/>
        <family val="2"/>
      </rPr>
      <t>Comparing Application and Database Data</t>
    </r>
  </si>
  <si>
    <r>
      <t>·</t>
    </r>
    <r>
      <rPr>
        <sz val="7"/>
        <color theme="1"/>
        <rFont val="Times New Roman"/>
        <family val="1"/>
      </rPr>
      <t xml:space="preserve">         </t>
    </r>
    <r>
      <rPr>
        <sz val="12"/>
        <color theme="1"/>
        <rFont val="Calibri"/>
        <family val="2"/>
      </rPr>
      <t>SQL as Supporting Validation for Automation</t>
    </r>
  </si>
  <si>
    <t>Playwright submits transaction → SQL validates database record</t>
  </si>
  <si>
    <t>Day 18 — Practice Session 6: UI + API + Database Validation</t>
  </si>
  <si>
    <t>This session brings together the three major layers of application testing.</t>
  </si>
  <si>
    <t>Participants understand that automation is not only about clicking browser elements; it validates the behaviour of the application across multiple layers.</t>
  </si>
  <si>
    <t>Day 19 — Application Logs, Failure Investigation &amp; Azure DevOps</t>
  </si>
  <si>
    <t>Application Log Analysis</t>
  </si>
  <si>
    <r>
      <t>·</t>
    </r>
    <r>
      <rPr>
        <sz val="7"/>
        <color theme="1"/>
        <rFont val="Times New Roman"/>
        <family val="1"/>
      </rPr>
      <t xml:space="preserve">         </t>
    </r>
    <r>
      <rPr>
        <sz val="12"/>
        <color theme="1"/>
        <rFont val="Calibri"/>
        <family val="2"/>
      </rPr>
      <t>Why Applications Generate Logs</t>
    </r>
  </si>
  <si>
    <r>
      <t>·</t>
    </r>
    <r>
      <rPr>
        <sz val="7"/>
        <color theme="1"/>
        <rFont val="Times New Roman"/>
        <family val="1"/>
      </rPr>
      <t xml:space="preserve">         </t>
    </r>
    <r>
      <rPr>
        <sz val="12"/>
        <color theme="1"/>
        <rFont val="Calibri"/>
        <family val="2"/>
      </rPr>
      <t>Basic Log Structure</t>
    </r>
  </si>
  <si>
    <r>
      <t>·</t>
    </r>
    <r>
      <rPr>
        <sz val="7"/>
        <color theme="1"/>
        <rFont val="Times New Roman"/>
        <family val="1"/>
      </rPr>
      <t xml:space="preserve">         </t>
    </r>
    <r>
      <rPr>
        <sz val="12"/>
        <color theme="1"/>
        <rFont val="Calibri"/>
        <family val="2"/>
      </rPr>
      <t>Timestamp</t>
    </r>
  </si>
  <si>
    <r>
      <t>·</t>
    </r>
    <r>
      <rPr>
        <sz val="7"/>
        <color theme="1"/>
        <rFont val="Times New Roman"/>
        <family val="1"/>
      </rPr>
      <t xml:space="preserve">         </t>
    </r>
    <r>
      <rPr>
        <sz val="12"/>
        <color theme="1"/>
        <rFont val="Calibri"/>
        <family val="2"/>
      </rPr>
      <t>Component</t>
    </r>
  </si>
  <si>
    <r>
      <t>·</t>
    </r>
    <r>
      <rPr>
        <sz val="7"/>
        <color theme="1"/>
        <rFont val="Times New Roman"/>
        <family val="1"/>
      </rPr>
      <t xml:space="preserve">         </t>
    </r>
    <r>
      <rPr>
        <sz val="12"/>
        <color theme="1"/>
        <rFont val="Calibri"/>
        <family val="2"/>
      </rPr>
      <t>Log Level</t>
    </r>
  </si>
  <si>
    <r>
      <t>·</t>
    </r>
    <r>
      <rPr>
        <sz val="7"/>
        <color theme="1"/>
        <rFont val="Times New Roman"/>
        <family val="1"/>
      </rPr>
      <t xml:space="preserve">         </t>
    </r>
    <r>
      <rPr>
        <sz val="12"/>
        <color theme="1"/>
        <rFont val="Calibri"/>
        <family val="2"/>
      </rPr>
      <t>INFO / WARN / ERROR / DEBUG</t>
    </r>
  </si>
  <si>
    <r>
      <t>·</t>
    </r>
    <r>
      <rPr>
        <sz val="7"/>
        <color theme="1"/>
        <rFont val="Times New Roman"/>
        <family val="1"/>
      </rPr>
      <t xml:space="preserve">         </t>
    </r>
    <r>
      <rPr>
        <sz val="12"/>
        <color theme="1"/>
        <rFont val="Calibri"/>
        <family val="2"/>
      </rPr>
      <t>Request IDs</t>
    </r>
  </si>
  <si>
    <r>
      <t>·</t>
    </r>
    <r>
      <rPr>
        <sz val="7"/>
        <color theme="1"/>
        <rFont val="Times New Roman"/>
        <family val="1"/>
      </rPr>
      <t xml:space="preserve">         </t>
    </r>
    <r>
      <rPr>
        <sz val="12"/>
        <color theme="1"/>
        <rFont val="Calibri"/>
        <family val="2"/>
      </rPr>
      <t>Correlation IDs</t>
    </r>
  </si>
  <si>
    <r>
      <t>·</t>
    </r>
    <r>
      <rPr>
        <sz val="7"/>
        <color theme="1"/>
        <rFont val="Times New Roman"/>
        <family val="1"/>
      </rPr>
      <t xml:space="preserve">         </t>
    </r>
    <r>
      <rPr>
        <sz val="12"/>
        <color theme="1"/>
        <rFont val="Calibri"/>
        <family val="2"/>
      </rPr>
      <t>Reading Basic Stack Traces</t>
    </r>
  </si>
  <si>
    <r>
      <t>·</t>
    </r>
    <r>
      <rPr>
        <sz val="7"/>
        <color theme="1"/>
        <rFont val="Times New Roman"/>
        <family val="1"/>
      </rPr>
      <t xml:space="preserve">         </t>
    </r>
    <r>
      <rPr>
        <sz val="12"/>
        <color theme="1"/>
        <rFont val="Calibri"/>
        <family val="2"/>
      </rPr>
      <t>Searching for Relevant Errors</t>
    </r>
  </si>
  <si>
    <r>
      <t>·</t>
    </r>
    <r>
      <rPr>
        <sz val="7"/>
        <color theme="1"/>
        <rFont val="Times New Roman"/>
        <family val="1"/>
      </rPr>
      <t xml:space="preserve">         </t>
    </r>
    <r>
      <rPr>
        <sz val="12"/>
        <color theme="1"/>
        <rFont val="Calibri"/>
        <family val="2"/>
      </rPr>
      <t>Following a Transaction</t>
    </r>
  </si>
  <si>
    <r>
      <t>·</t>
    </r>
    <r>
      <rPr>
        <sz val="7"/>
        <color theme="1"/>
        <rFont val="Times New Roman"/>
        <family val="1"/>
      </rPr>
      <t xml:space="preserve">         </t>
    </r>
    <r>
      <rPr>
        <sz val="12"/>
        <color theme="1"/>
        <rFont val="Calibri"/>
        <family val="2"/>
      </rPr>
      <t>Connecting:</t>
    </r>
  </si>
  <si>
    <r>
      <t>o</t>
    </r>
    <r>
      <rPr>
        <sz val="7"/>
        <color theme="1"/>
        <rFont val="Times New Roman"/>
        <family val="1"/>
      </rPr>
      <t xml:space="preserve">    </t>
    </r>
    <r>
      <rPr>
        <sz val="12"/>
        <color theme="1"/>
        <rFont val="Calibri"/>
        <family val="2"/>
      </rPr>
      <t>UI Failure</t>
    </r>
  </si>
  <si>
    <r>
      <t>o</t>
    </r>
    <r>
      <rPr>
        <sz val="7"/>
        <color theme="1"/>
        <rFont val="Times New Roman"/>
        <family val="1"/>
      </rPr>
      <t xml:space="preserve">    </t>
    </r>
    <r>
      <rPr>
        <sz val="12"/>
        <color theme="1"/>
        <rFont val="Calibri"/>
        <family val="2"/>
      </rPr>
      <t>API Failure</t>
    </r>
  </si>
  <si>
    <r>
      <t>o</t>
    </r>
    <r>
      <rPr>
        <sz val="7"/>
        <color theme="1"/>
        <rFont val="Times New Roman"/>
        <family val="1"/>
      </rPr>
      <t xml:space="preserve">    </t>
    </r>
    <r>
      <rPr>
        <sz val="12"/>
        <color theme="1"/>
        <rFont val="Calibri"/>
        <family val="2"/>
      </rPr>
      <t>Backend Failure</t>
    </r>
  </si>
  <si>
    <r>
      <t>o</t>
    </r>
    <r>
      <rPr>
        <sz val="7"/>
        <color theme="1"/>
        <rFont val="Times New Roman"/>
        <family val="1"/>
      </rPr>
      <t xml:space="preserve">    </t>
    </r>
    <r>
      <rPr>
        <sz val="12"/>
        <color theme="1"/>
        <rFont val="Calibri"/>
        <family val="2"/>
      </rPr>
      <t>Database Issue</t>
    </r>
  </si>
  <si>
    <r>
      <t>·</t>
    </r>
    <r>
      <rPr>
        <sz val="7"/>
        <color theme="1"/>
        <rFont val="Times New Roman"/>
        <family val="1"/>
      </rPr>
      <t xml:space="preserve">         </t>
    </r>
    <r>
      <rPr>
        <sz val="12"/>
        <color theme="1"/>
        <rFont val="Calibri"/>
        <family val="2"/>
      </rPr>
      <t>Distinguishing Application Defects from Environment Problems</t>
    </r>
  </si>
  <si>
    <r>
      <t>·</t>
    </r>
    <r>
      <rPr>
        <sz val="7"/>
        <color theme="1"/>
        <rFont val="Times New Roman"/>
        <family val="1"/>
      </rPr>
      <t xml:space="preserve">         </t>
    </r>
    <r>
      <rPr>
        <sz val="12"/>
        <color theme="1"/>
        <rFont val="Calibri"/>
        <family val="2"/>
      </rPr>
      <t>Collecting Technical Evidence</t>
    </r>
  </si>
  <si>
    <t>Azure DevOps for QA (Overview)</t>
  </si>
  <si>
    <t>https://dev.azure.com/balamurthyOrg/Project1/_testPlans/define?planId=2&amp;suiteId=3</t>
  </si>
  <si>
    <r>
      <t>·</t>
    </r>
    <r>
      <rPr>
        <sz val="7"/>
        <color theme="1"/>
        <rFont val="Times New Roman"/>
        <family val="1"/>
      </rPr>
      <t xml:space="preserve">         </t>
    </r>
    <r>
      <rPr>
        <sz val="12"/>
        <color theme="1"/>
        <rFont val="Calibri"/>
        <family val="2"/>
      </rPr>
      <t>Test Management in ADO</t>
    </r>
  </si>
  <si>
    <r>
      <t>·</t>
    </r>
    <r>
      <rPr>
        <sz val="7"/>
        <color theme="1"/>
        <rFont val="Times New Roman"/>
        <family val="1"/>
      </rPr>
      <t xml:space="preserve">         </t>
    </r>
    <r>
      <rPr>
        <sz val="12"/>
        <color theme="1"/>
        <rFont val="Calibri"/>
        <family val="2"/>
      </rPr>
      <t>User Stories</t>
    </r>
  </si>
  <si>
    <r>
      <t>·</t>
    </r>
    <r>
      <rPr>
        <sz val="7"/>
        <color theme="1"/>
        <rFont val="Times New Roman"/>
        <family val="1"/>
      </rPr>
      <t xml:space="preserve">         </t>
    </r>
    <r>
      <rPr>
        <sz val="12"/>
        <color theme="1"/>
        <rFont val="Calibri"/>
        <family val="2"/>
      </rPr>
      <t>Test Cases</t>
    </r>
  </si>
  <si>
    <r>
      <t>·</t>
    </r>
    <r>
      <rPr>
        <sz val="7"/>
        <color theme="1"/>
        <rFont val="Times New Roman"/>
        <family val="1"/>
      </rPr>
      <t xml:space="preserve">         </t>
    </r>
    <r>
      <rPr>
        <sz val="12"/>
        <color theme="1"/>
        <rFont val="Calibri"/>
        <family val="2"/>
      </rPr>
      <t>Test Execution</t>
    </r>
  </si>
  <si>
    <r>
      <t>·</t>
    </r>
    <r>
      <rPr>
        <sz val="7"/>
        <color theme="1"/>
        <rFont val="Times New Roman"/>
        <family val="1"/>
      </rPr>
      <t xml:space="preserve">         </t>
    </r>
    <r>
      <rPr>
        <sz val="12"/>
        <color theme="1"/>
        <rFont val="Calibri"/>
        <family val="2"/>
      </rPr>
      <t>Defect Logging</t>
    </r>
  </si>
  <si>
    <r>
      <t>·</t>
    </r>
    <r>
      <rPr>
        <sz val="7"/>
        <color theme="1"/>
        <rFont val="Times New Roman"/>
        <family val="1"/>
      </rPr>
      <t xml:space="preserve">         </t>
    </r>
    <r>
      <rPr>
        <sz val="12"/>
        <color theme="1"/>
        <rFont val="Calibri"/>
        <family val="2"/>
      </rPr>
      <t>Linking Defects to Tests</t>
    </r>
  </si>
  <si>
    <r>
      <t>·</t>
    </r>
    <r>
      <rPr>
        <sz val="7"/>
        <color theme="1"/>
        <rFont val="Times New Roman"/>
        <family val="1"/>
      </rPr>
      <t xml:space="preserve">         </t>
    </r>
    <r>
      <rPr>
        <sz val="12"/>
        <color theme="1"/>
        <rFont val="Calibri"/>
        <family val="2"/>
      </rPr>
      <t>Evidence</t>
    </r>
  </si>
  <si>
    <r>
      <t>·</t>
    </r>
    <r>
      <rPr>
        <sz val="7"/>
        <color theme="1"/>
        <rFont val="Times New Roman"/>
        <family val="1"/>
      </rPr>
      <t xml:space="preserve">         </t>
    </r>
    <r>
      <rPr>
        <sz val="12"/>
        <color theme="1"/>
        <rFont val="Calibri"/>
        <family val="2"/>
      </rPr>
      <t>Retesting</t>
    </r>
  </si>
  <si>
    <r>
      <t>·</t>
    </r>
    <r>
      <rPr>
        <sz val="7"/>
        <color theme="1"/>
        <rFont val="Times New Roman"/>
        <family val="1"/>
      </rPr>
      <t xml:space="preserve">         </t>
    </r>
    <r>
      <rPr>
        <sz val="12"/>
        <color theme="1"/>
        <rFont val="Calibri"/>
        <family val="2"/>
      </rPr>
      <t>Queries</t>
    </r>
  </si>
  <si>
    <r>
      <t>·</t>
    </r>
    <r>
      <rPr>
        <sz val="7"/>
        <color theme="1"/>
        <rFont val="Times New Roman"/>
        <family val="1"/>
      </rPr>
      <t xml:space="preserve">         </t>
    </r>
    <r>
      <rPr>
        <sz val="12"/>
        <color theme="1"/>
        <rFont val="Calibri"/>
        <family val="2"/>
      </rPr>
      <t>Basic QA Dashboards</t>
    </r>
  </si>
  <si>
    <r>
      <t>·</t>
    </r>
    <r>
      <rPr>
        <sz val="7"/>
        <color theme="1"/>
        <rFont val="Times New Roman"/>
        <family val="1"/>
      </rPr>
      <t xml:space="preserve">         </t>
    </r>
    <r>
      <rPr>
        <sz val="12"/>
        <color theme="1"/>
        <rFont val="Calibri"/>
        <family val="2"/>
      </rPr>
      <t>Traceability</t>
    </r>
  </si>
  <si>
    <t>Participants diagnose a failed automated test and create an evidence-backed defect in Azure DevOps.</t>
  </si>
  <si>
    <t>Day 20 — CI/CD Testing &amp; Low-Code Automation with Leapwork (Overview – Demo)</t>
  </si>
  <si>
    <t>Part A — Testing in CI/CD (Overview)</t>
  </si>
  <si>
    <t>Continuous Integration</t>
  </si>
  <si>
    <t>Continuous Delivery</t>
  </si>
  <si>
    <t>Why Automation is Integrated into Pipelines</t>
  </si>
  <si>
    <t>Typical Pipeline: Code → Build → Test → Report → Deploy</t>
  </si>
  <si>
    <t>Unit Test Stage Awareness</t>
  </si>
  <si>
    <t>API Automation Stage</t>
  </si>
  <si>
    <t>Playwright UI Automation Stage</t>
  </si>
  <si>
    <t>Regression Testing in Pipeline</t>
  </si>
  <si>
    <t>Azure DevOps Pipeline Awareness</t>
  </si>
  <si>
    <t>Running Playwright from Pipeline</t>
  </si>
  <si>
    <t>Build Failure vs Test Failure</t>
  </si>
  <si>
    <t>Reading Pipeline Logs</t>
  </si>
  <si>
    <t>Tester Responsibilities in CI/CD</t>
  </si>
  <si>
    <t>View Playwright execution</t>
  </si>
  <si>
    <t>Analyse failed tests</t>
  </si>
  <si>
    <t>Interpret automated reports</t>
  </si>
  <si>
    <t>Part B — Leapwork / Low-Code Automation Exposure (Overview – Demo)</t>
  </si>
  <si>
    <t>What is Low-Code Automation?</t>
  </si>
  <si>
    <t>Introduction to Leapwork</t>
  </si>
  <si>
    <t>Understanding Visual Automation Flows</t>
  </si>
  <si>
    <t>Capturing Elements, Actions, Validation</t>
  </si>
  <si>
    <t>Reusable Components</t>
  </si>
  <si>
    <t>Executing Flows</t>
  </si>
  <si>
    <t>Reading Results</t>
  </si>
  <si>
    <t>Basic Failure Investigation</t>
  </si>
  <si>
    <t>Playwright vs Low-Code Automation</t>
  </si>
  <si>
    <t>Choosing the Appropriate Approach</t>
  </si>
  <si>
    <t>Day 21 &amp; 22 — Practice Session 7: Final Integrated Level 1 QA Automation Use Case</t>
  </si>
  <si>
    <t>Date</t>
  </si>
  <si>
    <t>Day</t>
  </si>
  <si>
    <t>Thu</t>
  </si>
  <si>
    <r>
      <t xml:space="preserve">The participants have already covered these areas, so the objective is refresher session aligned towards </t>
    </r>
    <r>
      <rPr>
        <b/>
        <sz val="10"/>
        <color theme="1"/>
        <rFont val="Aptos"/>
        <family val="2"/>
      </rPr>
      <t>ISTQB Certification</t>
    </r>
  </si>
  <si>
    <r>
      <t>·</t>
    </r>
    <r>
      <rPr>
        <sz val="10"/>
        <color theme="1"/>
        <rFont val="Times New Roman"/>
        <family val="1"/>
      </rPr>
      <t xml:space="preserve">         </t>
    </r>
    <r>
      <rPr>
        <sz val="10"/>
        <color theme="1"/>
        <rFont val="Aptos"/>
        <family val="2"/>
      </rPr>
      <t>Testing Mindset and Role of QA</t>
    </r>
  </si>
  <si>
    <r>
      <t>·</t>
    </r>
    <r>
      <rPr>
        <sz val="10"/>
        <color theme="1"/>
        <rFont val="Times New Roman"/>
        <family val="1"/>
      </rPr>
      <t xml:space="preserve">         </t>
    </r>
    <r>
      <rPr>
        <sz val="10"/>
        <color theme="1"/>
        <rFont val="Aptos"/>
        <family val="2"/>
      </rPr>
      <t>SDLC and STLC</t>
    </r>
  </si>
  <si>
    <r>
      <t>·</t>
    </r>
    <r>
      <rPr>
        <sz val="10"/>
        <color theme="1"/>
        <rFont val="Times New Roman"/>
        <family val="1"/>
      </rPr>
      <t xml:space="preserve">         </t>
    </r>
    <r>
      <rPr>
        <sz val="10"/>
        <color theme="1"/>
        <rFont val="Aptos"/>
        <family val="2"/>
      </rPr>
      <t>Agile/Scrum Testing Context</t>
    </r>
  </si>
  <si>
    <r>
      <t>·</t>
    </r>
    <r>
      <rPr>
        <sz val="10"/>
        <color theme="1"/>
        <rFont val="Times New Roman"/>
        <family val="1"/>
      </rPr>
      <t xml:space="preserve">         </t>
    </r>
    <r>
      <rPr>
        <sz val="10"/>
        <color theme="1"/>
        <rFont val="Aptos"/>
        <family val="2"/>
      </rPr>
      <t>Request–Response Flow</t>
    </r>
  </si>
  <si>
    <r>
      <t>·</t>
    </r>
    <r>
      <rPr>
        <sz val="10"/>
        <color theme="1"/>
        <rFont val="Times New Roman"/>
        <family val="1"/>
      </rPr>
      <t xml:space="preserve">         </t>
    </r>
    <r>
      <rPr>
        <sz val="10"/>
        <color theme="1"/>
        <rFont val="Aptos"/>
        <family val="2"/>
      </rPr>
      <t>Requirement Analysis</t>
    </r>
  </si>
  <si>
    <r>
      <t>·</t>
    </r>
    <r>
      <rPr>
        <sz val="10"/>
        <color theme="1"/>
        <rFont val="Times New Roman"/>
        <family val="1"/>
      </rPr>
      <t xml:space="preserve">         </t>
    </r>
    <r>
      <rPr>
        <sz val="10"/>
        <color theme="1"/>
        <rFont val="Aptos"/>
        <family val="2"/>
      </rPr>
      <t>User Stories and Acceptance Criteria</t>
    </r>
  </si>
  <si>
    <r>
      <t>·</t>
    </r>
    <r>
      <rPr>
        <sz val="10"/>
        <color theme="1"/>
        <rFont val="Times New Roman"/>
        <family val="1"/>
      </rPr>
      <t xml:space="preserve">         </t>
    </r>
    <r>
      <rPr>
        <sz val="10"/>
        <color theme="1"/>
        <rFont val="Aptos"/>
        <family val="2"/>
      </rPr>
      <t>Identifying Test Conditions</t>
    </r>
  </si>
  <si>
    <r>
      <t>·</t>
    </r>
    <r>
      <rPr>
        <sz val="10"/>
        <color theme="1"/>
        <rFont val="Times New Roman"/>
        <family val="1"/>
      </rPr>
      <t xml:space="preserve">         </t>
    </r>
    <r>
      <rPr>
        <sz val="10"/>
        <color theme="1"/>
        <rFont val="Aptos"/>
        <family val="2"/>
      </rPr>
      <t>Test Scenario Identification</t>
    </r>
  </si>
  <si>
    <r>
      <t>·</t>
    </r>
    <r>
      <rPr>
        <sz val="10"/>
        <color theme="1"/>
        <rFont val="Times New Roman"/>
        <family val="1"/>
      </rPr>
      <t xml:space="preserve">         </t>
    </r>
    <r>
      <rPr>
        <sz val="10"/>
        <color theme="1"/>
        <rFont val="Aptos"/>
        <family val="2"/>
      </rPr>
      <t>Positive and Negative Testing</t>
    </r>
  </si>
  <si>
    <r>
      <t>·</t>
    </r>
    <r>
      <rPr>
        <sz val="10"/>
        <color theme="1"/>
        <rFont val="Times New Roman"/>
        <family val="1"/>
      </rPr>
      <t xml:space="preserve">         </t>
    </r>
    <r>
      <rPr>
        <sz val="10"/>
        <color theme="1"/>
        <rFont val="Aptos"/>
        <family val="2"/>
      </rPr>
      <t>Boundary Value Analysis</t>
    </r>
  </si>
  <si>
    <r>
      <t>·</t>
    </r>
    <r>
      <rPr>
        <sz val="10"/>
        <color theme="1"/>
        <rFont val="Times New Roman"/>
        <family val="1"/>
      </rPr>
      <t xml:space="preserve">         </t>
    </r>
    <r>
      <rPr>
        <sz val="10"/>
        <color theme="1"/>
        <rFont val="Aptos"/>
        <family val="2"/>
      </rPr>
      <t>Equivalence Partitioning</t>
    </r>
  </si>
  <si>
    <r>
      <t>·</t>
    </r>
    <r>
      <rPr>
        <sz val="10"/>
        <color theme="1"/>
        <rFont val="Times New Roman"/>
        <family val="1"/>
      </rPr>
      <t xml:space="preserve">         </t>
    </r>
    <r>
      <rPr>
        <sz val="10"/>
        <color theme="1"/>
        <rFont val="Aptos"/>
        <family val="2"/>
      </rPr>
      <t>Decision Table Testing</t>
    </r>
  </si>
  <si>
    <r>
      <t>·</t>
    </r>
    <r>
      <rPr>
        <sz val="10"/>
        <color theme="1"/>
        <rFont val="Times New Roman"/>
        <family val="1"/>
      </rPr>
      <t xml:space="preserve">         </t>
    </r>
    <r>
      <rPr>
        <sz val="10"/>
        <color theme="1"/>
        <rFont val="Aptos"/>
        <family val="2"/>
      </rPr>
      <t>Risk-Based Test Design</t>
    </r>
  </si>
  <si>
    <r>
      <t>·</t>
    </r>
    <r>
      <rPr>
        <sz val="10"/>
        <color theme="1"/>
        <rFont val="Times New Roman"/>
        <family val="1"/>
      </rPr>
      <t xml:space="preserve">         </t>
    </r>
    <r>
      <rPr>
        <sz val="10"/>
        <color theme="1"/>
        <rFont val="Aptos"/>
        <family val="2"/>
      </rPr>
      <t>Test Case Creation</t>
    </r>
  </si>
  <si>
    <r>
      <t>·</t>
    </r>
    <r>
      <rPr>
        <sz val="10"/>
        <color theme="1"/>
        <rFont val="Times New Roman"/>
        <family val="1"/>
      </rPr>
      <t xml:space="preserve">         </t>
    </r>
    <r>
      <rPr>
        <sz val="10"/>
        <color theme="1"/>
        <rFont val="Aptos"/>
        <family val="2"/>
      </rPr>
      <t>Test Data Identification</t>
    </r>
  </si>
  <si>
    <r>
      <t>·</t>
    </r>
    <r>
      <rPr>
        <sz val="10"/>
        <color theme="1"/>
        <rFont val="Times New Roman"/>
        <family val="1"/>
      </rPr>
      <t xml:space="preserve">         </t>
    </r>
    <r>
      <rPr>
        <sz val="10"/>
        <color theme="1"/>
        <rFont val="Aptos"/>
        <family val="2"/>
      </rPr>
      <t>Test Execution</t>
    </r>
  </si>
  <si>
    <r>
      <t>·</t>
    </r>
    <r>
      <rPr>
        <sz val="10"/>
        <color theme="1"/>
        <rFont val="Times New Roman"/>
        <family val="1"/>
      </rPr>
      <t xml:space="preserve">         </t>
    </r>
    <r>
      <rPr>
        <sz val="10"/>
        <color theme="1"/>
        <rFont val="Aptos"/>
        <family val="2"/>
      </rPr>
      <t>Evidence Collection</t>
    </r>
  </si>
  <si>
    <r>
      <t>·</t>
    </r>
    <r>
      <rPr>
        <sz val="10"/>
        <color theme="1"/>
        <rFont val="Times New Roman"/>
        <family val="1"/>
      </rPr>
      <t xml:space="preserve">         </t>
    </r>
    <r>
      <rPr>
        <sz val="10"/>
        <color theme="1"/>
        <rFont val="Aptos"/>
        <family val="2"/>
      </rPr>
      <t>Retesting and Regression Testing</t>
    </r>
  </si>
  <si>
    <r>
      <t>·</t>
    </r>
    <r>
      <rPr>
        <sz val="10"/>
        <color theme="1"/>
        <rFont val="Times New Roman"/>
        <family val="1"/>
      </rPr>
      <t xml:space="preserve">         </t>
    </r>
    <r>
      <rPr>
        <sz val="10"/>
        <color theme="1"/>
        <rFont val="Aptos"/>
        <family val="2"/>
      </rPr>
      <t>Test Reporting</t>
    </r>
  </si>
  <si>
    <r>
      <t>·</t>
    </r>
    <r>
      <rPr>
        <sz val="10"/>
        <color theme="1"/>
        <rFont val="Times New Roman"/>
        <family val="1"/>
      </rPr>
      <t xml:space="preserve">         </t>
    </r>
    <r>
      <rPr>
        <sz val="10"/>
        <color theme="1"/>
        <rFont val="Aptos"/>
        <family val="2"/>
      </rPr>
      <t>Defect Lifecycle</t>
    </r>
  </si>
  <si>
    <r>
      <t>·</t>
    </r>
    <r>
      <rPr>
        <sz val="10"/>
        <color theme="1"/>
        <rFont val="Times New Roman"/>
        <family val="1"/>
      </rPr>
      <t xml:space="preserve">         </t>
    </r>
    <r>
      <rPr>
        <sz val="10"/>
        <color theme="1"/>
        <rFont val="Aptos"/>
        <family val="2"/>
      </rPr>
      <t>Severity vs Priority</t>
    </r>
  </si>
  <si>
    <r>
      <t>·</t>
    </r>
    <r>
      <rPr>
        <sz val="10"/>
        <color theme="1"/>
        <rFont val="Times New Roman"/>
        <family val="1"/>
      </rPr>
      <t xml:space="preserve">         </t>
    </r>
    <r>
      <rPr>
        <sz val="10"/>
        <color theme="1"/>
        <rFont val="Aptos"/>
        <family val="2"/>
      </rPr>
      <t>Effective Defect Reporting</t>
    </r>
  </si>
  <si>
    <r>
      <t>·</t>
    </r>
    <r>
      <rPr>
        <sz val="10"/>
        <color theme="1"/>
        <rFont val="Times New Roman"/>
        <family val="1"/>
      </rPr>
      <t xml:space="preserve">         </t>
    </r>
    <r>
      <rPr>
        <sz val="10"/>
        <color theme="1"/>
        <rFont val="Aptos"/>
        <family val="2"/>
      </rPr>
      <t>Defect Retesting and Closure</t>
    </r>
  </si>
  <si>
    <t>Fri</t>
  </si>
  <si>
    <t>Mon</t>
  </si>
  <si>
    <t>Make</t>
  </si>
  <si>
    <t>mode</t>
  </si>
  <si>
    <t>id</t>
  </si>
  <si>
    <t>value</t>
  </si>
  <si>
    <t>make</t>
  </si>
  <si>
    <t>Type</t>
  </si>
  <si>
    <t>Textbox</t>
  </si>
  <si>
    <t>Engine performance</t>
  </si>
  <si>
    <t>engineperformance</t>
  </si>
  <si>
    <t>Tab1</t>
  </si>
  <si>
    <t>https://sampleapp.tricentis.com/101/app.php</t>
  </si>
  <si>
    <t>Automobile</t>
  </si>
  <si>
    <t>Bala Murthy</t>
  </si>
  <si>
    <t>PATIL Asmita Rajesh</t>
  </si>
  <si>
    <t>Hands on</t>
  </si>
  <si>
    <t xml:space="preserve">Tricentis vehicle insurance get quote functionality - manual walkthrough </t>
  </si>
  <si>
    <t xml:space="preserve">Element identification methods </t>
  </si>
  <si>
    <t>Else if conditions usage</t>
  </si>
  <si>
    <t>Link validation of formats in a web page</t>
  </si>
  <si>
    <t>Truth tables</t>
  </si>
  <si>
    <t>And</t>
  </si>
  <si>
    <t>Condition2</t>
  </si>
  <si>
    <t>Condition1</t>
  </si>
  <si>
    <t>Result</t>
  </si>
  <si>
    <t>Or</t>
  </si>
  <si>
    <t xml:space="preserve">      proceed</t>
  </si>
  <si>
    <t xml:space="preserve">if (username !=="" &amp;&amp; Password !=="") </t>
  </si>
  <si>
    <t>if (policytype==="Life"  || policytype==="Automobile")</t>
  </si>
  <si>
    <t xml:space="preserve">     Showdetails(quoteEntry)</t>
  </si>
  <si>
    <t>Full name</t>
  </si>
  <si>
    <t>3-50 chars</t>
  </si>
  <si>
    <t>ABC</t>
  </si>
  <si>
    <t>Sukshit on leave. All else present</t>
  </si>
  <si>
    <t>mychairs</t>
  </si>
  <si>
    <t>mychairs.length=5</t>
  </si>
  <si>
    <t>for(each one of the chairs I have)</t>
  </si>
  <si>
    <t>for(i=0;I &lt; 5;I ++)</t>
  </si>
  <si>
    <t xml:space="preserve">       </t>
  </si>
  <si>
    <t>dopainting(cno)</t>
  </si>
  <si>
    <t xml:space="preserve">    if cno%2 ==0</t>
  </si>
  <si>
    <t xml:space="preserve">       console.log ("Painting done")</t>
  </si>
  <si>
    <t>dopainting(mychairs[i])</t>
  </si>
  <si>
    <t>Reusable function</t>
  </si>
  <si>
    <t>for each chair</t>
  </si>
  <si>
    <t>if i%==0</t>
  </si>
  <si>
    <t>paint green</t>
  </si>
  <si>
    <t>paint red</t>
  </si>
  <si>
    <t>actual=green</t>
  </si>
  <si>
    <t>actual=red</t>
  </si>
  <si>
    <t xml:space="preserve">       paintchair(expected)</t>
  </si>
  <si>
    <t>function paintchair(exp)</t>
  </si>
  <si>
    <t>function validatechair(exp,action)</t>
  </si>
  <si>
    <t>Sukshit not in</t>
  </si>
  <si>
    <t xml:space="preserve">Asmita </t>
  </si>
  <si>
    <t>done</t>
  </si>
  <si>
    <t>Hands on day 9 - classes evaluation</t>
  </si>
  <si>
    <t>REQUEST ERROR: https://example.com/broken-test-page-019 --&gt; Error: apiRequestContext.get: getaddrinfo ENOTFOUND example.com</t>
  </si>
  <si>
    <t>Call log:</t>
  </si>
  <si>
    <t xml:space="preserve">  - → GET https://example.com/broken-test-page-019</t>
  </si>
  <si>
    <t xml:space="preserve">    - user-agent: Mozilla/5.0 (Windows NT 10.0; Win64; x64) AppleWebKit/537.36 (KHTML, like Gecko) Chrome/151.0.7922.34 Safari/537.36</t>
  </si>
  <si>
    <t xml:space="preserve">    - accept: */*</t>
  </si>
  <si>
    <t xml:space="preserve">    - accept-encoding: gzip,deflate,br</t>
  </si>
  <si>
    <t>REQUEST ERROR: https://example.com/broken-test-page-020 --&gt; Error: apiRequestContext.get: getaddrinfo ENOTFOUND example.com</t>
  </si>
  <si>
    <t xml:space="preserve">  - → GET https://example.com/broken-test-page-020</t>
  </si>
  <si>
    <t>Sc1</t>
  </si>
  <si>
    <t>un</t>
  </si>
  <si>
    <t>pw</t>
  </si>
  <si>
    <t>right</t>
  </si>
  <si>
    <t>success</t>
  </si>
  <si>
    <t>exp result</t>
  </si>
  <si>
    <t>actual</t>
  </si>
  <si>
    <t>sc2</t>
  </si>
  <si>
    <t>wrong</t>
  </si>
  <si>
    <t>sc3</t>
  </si>
  <si>
    <t>login use case</t>
  </si>
  <si>
    <t>db server down</t>
  </si>
  <si>
    <t>security issue</t>
  </si>
  <si>
    <t>session is getting carried over.</t>
  </si>
  <si>
    <t>Most unlikely</t>
  </si>
  <si>
    <t>notify db team to inform for retest</t>
  </si>
  <si>
    <t>abcdefghijklmnop</t>
  </si>
  <si>
    <t>somepassword</t>
  </si>
  <si>
    <t>registration</t>
  </si>
  <si>
    <t xml:space="preserve">client end </t>
  </si>
  <si>
    <t xml:space="preserve">long names cannot be entered in username box </t>
  </si>
  <si>
    <t>sc4</t>
  </si>
  <si>
    <t>right-with long names</t>
  </si>
  <si>
    <t>type</t>
  </si>
  <si>
    <t>2bhk</t>
  </si>
  <si>
    <t>location</t>
  </si>
  <si>
    <t>city</t>
  </si>
  <si>
    <t>bangalore</t>
  </si>
  <si>
    <t>banashankari</t>
  </si>
  <si>
    <t>bhanashankari</t>
  </si>
  <si>
    <t>exp</t>
  </si>
  <si>
    <t>exp:120</t>
  </si>
  <si>
    <t>no of houses: 120</t>
  </si>
  <si>
    <t>Total links found: 50</t>
  </si>
  <si>
    <t>VALID: https://www.google.com --&gt; 200 Ok for link text: Google</t>
  </si>
  <si>
    <t>VALID: https://www.microsoft.com --&gt; 200 Ok for link text: Microsoft</t>
  </si>
  <si>
    <t>VALID: https://www.apple.com --&gt; 200 Ok for link text: Apple</t>
  </si>
  <si>
    <t>VALID: https://www.amazon.com --&gt; 202 Ok for link text: Amazon</t>
  </si>
  <si>
    <t>VALID: https://www.wikipedia.org --&gt; 200 Ok for link text: Wikipedia</t>
  </si>
  <si>
    <t>VALID: https://www.github.com --&gt; 200 Ok for link text: GitHub</t>
  </si>
  <si>
    <t>VALID: https://www.linkedin.com --&gt; 200 Ok for link text: LinkedIn</t>
  </si>
  <si>
    <t>VALID: https://www.youtube.com --&gt; 200 Ok for link text: YouTube</t>
  </si>
  <si>
    <t>VALID: https://www.mozilla.org --&gt; 200 Ok for link text: Mozilla</t>
  </si>
  <si>
    <t>VALID: https://www.python.org --&gt; 200 Ok for link text: Python</t>
  </si>
  <si>
    <t>CLIENT ERROR: https://www.oracle.com --&gt; 403 for link text: Oracle</t>
  </si>
  <si>
    <t>VALID: https://www.ibm.com --&gt; 200 Ok for link text: IBM</t>
  </si>
  <si>
    <t>VALID: https://www.w3.org --&gt; 200 Ok for link text: W3C</t>
  </si>
  <si>
    <t>VALID: https://playwright.dev --&gt; 200 Ok for link text: Playwright</t>
  </si>
  <si>
    <t>VALID: https://www.typescriptlang.org --&gt; 200 Ok for link text: TypeScript</t>
  </si>
  <si>
    <t>VALID: https://nodejs.org --&gt; 200 Ok for link text: Node.js</t>
  </si>
  <si>
    <t>CLIENT ERROR: https://www.npmjs.com --&gt; 403 for link text: NPM</t>
  </si>
  <si>
    <t>VALID: https://developer.mozilla.org --&gt; 200 Ok for link text: MDN Web Docs</t>
  </si>
  <si>
    <t>CLIENT ERROR: https://stackoverflow.com --&gt; 403 for link text: Stack Overflow</t>
  </si>
  <si>
    <t>VALID: https://www.selenium.dev --&gt; 200 Ok for link text: Selenium</t>
  </si>
  <si>
    <t>result</t>
  </si>
  <si>
    <t>BROKEN LINK: 404 for link text: Broken Google Link</t>
  </si>
  <si>
    <t>BROKEN LINK: 404 for link text: Broken Microsoft Link</t>
  </si>
  <si>
    <t>BROKEN LINK: 404 for link text: Broken Apple Link</t>
  </si>
  <si>
    <t>BROKEN LINK: 404 for link text: Broken Amazon Link</t>
  </si>
  <si>
    <t>CLIENT ERROR: https://www.wikipedia.org/non-existent-page-005 --&gt; 429 for link text: Broken Wikipedia Link</t>
  </si>
  <si>
    <t>BROKEN LINK: 404 for link text: Broken GitHub Link</t>
  </si>
  <si>
    <t>BROKEN LINK: 404 for link text: Broken YouTube Link</t>
  </si>
  <si>
    <t>BROKEN LINK: 404 for link text: Broken Mozilla Link</t>
  </si>
  <si>
    <t>BROKEN LINK: 404 for link text: Broken Python Link</t>
  </si>
  <si>
    <t>BROKEN LINK: 404 for link text: Broken IBM Link</t>
  </si>
  <si>
    <t>BROKEN LINK: 404 for link text: Broken W3C Link</t>
  </si>
  <si>
    <t>BROKEN LINK: 404 for link text: Broken Playwright Link</t>
  </si>
  <si>
    <t>BROKEN LINK: 404 for link text: Broken TypeScript Link</t>
  </si>
  <si>
    <t>BROKEN LINK: 404 for link text: Broken Node.js Link</t>
  </si>
  <si>
    <t>CLIENT ERROR: https://www.npmjs.com/non-existent-page-015 --&gt; 403 for link text: Broken NPM Link</t>
  </si>
  <si>
    <t>BROKEN LINK: 404 for link text: Broken MDN Link</t>
  </si>
  <si>
    <t>CLIENT ERROR: https://stackoverflow.com/non-existent-page-017 --&gt; 403 for link text: Broken Stack Overflow Link</t>
  </si>
  <si>
    <t>BROKEN LINK: 404 for link text: Broken Selenium Link</t>
  </si>
  <si>
    <t xml:space="preserve"> for link text: Broken Example Link</t>
  </si>
  <si>
    <t xml:space="preserve"> for link text: Another Broken Example Link</t>
  </si>
  <si>
    <t>VALID: https://httpbin.org/status/200 --&gt; 200 Ok for link text: HTTP 200 - Valid</t>
  </si>
  <si>
    <t>VALID: https://httpbin.org/status/201 --&gt; 201 Ok for link text: HTTP 201 - Valid</t>
  </si>
  <si>
    <t>VALID: https://httpbin.org/status/204 --&gt; 204 Ok for link text: HTTP 204 - Valid</t>
  </si>
  <si>
    <t>VALID: https://httpbin.org/status/301 --&gt; 200 Ok for link text: HTTP 301 - Redirect</t>
  </si>
  <si>
    <t>VALID: https://httpbin.org/status/302 --&gt; 200 Ok for link text: HTTP 302 - Redirect</t>
  </si>
  <si>
    <t>CLIENT ERROR: https://httpbin.org/status/400 --&gt; 400 for link text: HTTP 400 - Bad Request</t>
  </si>
  <si>
    <t>CLIENT ERROR: https://httpbin.org/status/401 --&gt; 401 for link text: HTTP 401 - Unauthorized</t>
  </si>
  <si>
    <t>CLIENT ERROR: https://httpbin.org/status/403 --&gt; 403 for link text: HTTP 403 - Forbidden</t>
  </si>
  <si>
    <t>BROKEN LINK: 404 for link text: HTTP 404 - Not Found</t>
  </si>
  <si>
    <t>SERVER ERROR: https://httpbin.org/status/500 --&gt; 500 for link text: HTTP 500 - Server Error</t>
  </si>
  <si>
    <t>KRISHNAN Arunima</t>
  </si>
  <si>
    <t>Organiser</t>
  </si>
  <si>
    <t>Asmita</t>
  </si>
  <si>
    <t>absent</t>
  </si>
  <si>
    <t>family grievance</t>
  </si>
  <si>
    <t>Evaluation  - Playwright midway tasks</t>
  </si>
  <si>
    <t>Requirement - As given on 4 Sep Friday</t>
  </si>
  <si>
    <t>1. include a smoke test in the same orangehome.spec.ts</t>
  </si>
  <si>
    <t xml:space="preserve">     Check if Login heading is present in the web page</t>
  </si>
  <si>
    <t>2. Simulate a error condition in the script for trace viewer  - npx playwright test &lt;spec filename&gt; --trace on</t>
  </si>
  <si>
    <t>3. UI mode for execution - npx playwright test &lt;spec file name&gt; --ui</t>
  </si>
  <si>
    <t xml:space="preserve">4. Insurance sandbox html - </t>
  </si>
  <si>
    <t xml:space="preserve">    Test cases and scenarios</t>
  </si>
  <si>
    <t xml:space="preserve">     Data validation rules</t>
  </si>
  <si>
    <t xml:space="preserve">     </t>
  </si>
  <si>
    <t xml:space="preserve">     In playwright, create a test for happy path of customer registration - sanitytest</t>
  </si>
  <si>
    <t xml:space="preserve">     Create a test for search for a non existant policy and it should say No policy found in sanitytest</t>
  </si>
  <si>
    <t xml:space="preserve">   </t>
  </si>
  <si>
    <t xml:space="preserve">-Tip - Record the tests using npx playwright codegen &lt;htmlfilename&gt; </t>
  </si>
  <si>
    <t xml:space="preserve">      copy the recorded script and paste in your spec.ts file </t>
  </si>
  <si>
    <t xml:space="preserve">      add await expect to pass or fail the test</t>
  </si>
  <si>
    <t>Framework structure-5 marks</t>
  </si>
  <si>
    <t>SmokeTest-orangehome</t>
  </si>
  <si>
    <t xml:space="preserve">SanityTest -Login </t>
  </si>
  <si>
    <t>Participant name</t>
  </si>
  <si>
    <t>Validation - await expect</t>
  </si>
  <si>
    <t>Total %</t>
  </si>
  <si>
    <t>Mid assessment - 25 marks</t>
  </si>
  <si>
    <t>Reusable modules &amp; Negative tc</t>
  </si>
  <si>
    <t>sampledata</t>
  </si>
  <si>
    <t>how to put the registration function as a reusable function in a module?</t>
  </si>
  <si>
    <t>test (fn,ln,dob,email,phone,address) - successful</t>
  </si>
  <si>
    <t>All ok</t>
  </si>
  <si>
    <t>Any empty</t>
  </si>
  <si>
    <t>Expect</t>
  </si>
  <si>
    <t>Successful</t>
  </si>
  <si>
    <t xml:space="preserve">test ('',ln,dob,email,phone,address) - all fields are mandatory </t>
  </si>
  <si>
    <t>unsuccessful</t>
  </si>
  <si>
    <t>export function registerCustomer(fn :string, ln:string,dob :string,email:string,phone:number,add:string) {</t>
  </si>
  <si>
    <t>}</t>
  </si>
  <si>
    <t xml:space="preserve">fill the form </t>
  </si>
  <si>
    <t>Typescript</t>
  </si>
  <si>
    <t>tests</t>
  </si>
  <si>
    <t>Sanitytests</t>
  </si>
  <si>
    <t>utils</t>
  </si>
  <si>
    <t>reg.spec.ts</t>
  </si>
  <si>
    <t xml:space="preserve">     fillregform.ts</t>
  </si>
  <si>
    <t>../../utils/fillregform.ts</t>
  </si>
  <si>
    <t>VPN Issue.</t>
  </si>
  <si>
    <t>Not responding (Restarted) will showcase 08/Sep - reported some emergency</t>
  </si>
  <si>
    <t>test('Check position of Register customer button @ui', async ({ page }) =&gt; {</t>
  </si>
  <si>
    <t>test ('Check the style @ui of the Register customer button ', async ({ page }) =&gt; {</t>
  </si>
  <si>
    <t>test ('Check if the label for First Name input box @ui is First Name *', async ({ page }) =&gt; {</t>
  </si>
  <si>
    <t>test('Check background colour of the Register customer @ui button to be dark blue ', async ({ page }) =&gt; {</t>
  </si>
  <si>
    <t>#163a5f</t>
  </si>
  <si>
    <t>not present</t>
  </si>
  <si>
    <t>Status as on 9 Sep</t>
  </si>
  <si>
    <t>Done during evaluation</t>
  </si>
  <si>
    <t>Will showcase 10/Sep</t>
  </si>
  <si>
    <t>Insurance</t>
  </si>
  <si>
    <t>Tables</t>
  </si>
  <si>
    <t>Customers</t>
  </si>
  <si>
    <t>Custid</t>
  </si>
  <si>
    <t>custname</t>
  </si>
  <si>
    <t>Add 1</t>
  </si>
  <si>
    <t>Add 2</t>
  </si>
  <si>
    <t>City</t>
  </si>
  <si>
    <t>State</t>
  </si>
  <si>
    <t>Pincode</t>
  </si>
  <si>
    <t>email</t>
  </si>
  <si>
    <t>phone</t>
  </si>
  <si>
    <t>create database - db lead</t>
  </si>
  <si>
    <t>c001</t>
  </si>
  <si>
    <t>Bala</t>
  </si>
  <si>
    <t>7,abcd</t>
  </si>
  <si>
    <t>Chennai</t>
  </si>
  <si>
    <t>TN</t>
  </si>
  <si>
    <t>abc@gmail.com</t>
  </si>
  <si>
    <t>Registration screen</t>
  </si>
  <si>
    <t>https://insonline.com</t>
  </si>
  <si>
    <t>Sign up</t>
  </si>
  <si>
    <t>Sign in</t>
  </si>
  <si>
    <t>password</t>
  </si>
  <si>
    <t>confirm password</t>
  </si>
  <si>
    <t>Personal detail</t>
  </si>
  <si>
    <t xml:space="preserve">Name </t>
  </si>
  <si>
    <t>Add1</t>
  </si>
  <si>
    <t>Add2</t>
  </si>
  <si>
    <t>email id</t>
  </si>
  <si>
    <t>Policies</t>
  </si>
  <si>
    <t>Status of policy</t>
  </si>
  <si>
    <t>Admin modules</t>
  </si>
  <si>
    <t>https://insonline.com/admin</t>
  </si>
  <si>
    <t>create policy</t>
  </si>
  <si>
    <t>Normal logged in user clicks policies</t>
  </si>
  <si>
    <t>Transactions/My policy</t>
  </si>
  <si>
    <t>Policy name</t>
  </si>
  <si>
    <t>Applicable to ages</t>
  </si>
  <si>
    <t>Term</t>
  </si>
  <si>
    <t>Turnover</t>
  </si>
  <si>
    <t>Bhima nivesh</t>
  </si>
  <si>
    <t>Ages 15 - 30</t>
  </si>
  <si>
    <t>Policies table</t>
  </si>
  <si>
    <t>Buy</t>
  </si>
  <si>
    <t>Premium</t>
  </si>
  <si>
    <t>Update policy</t>
  </si>
  <si>
    <t>Delete policy</t>
  </si>
  <si>
    <t>Edit - policy</t>
  </si>
  <si>
    <t>Creation - Data Definition language</t>
  </si>
  <si>
    <t>Create database insonline</t>
  </si>
  <si>
    <t>create table customer (custid char(4), custname char(20),dob date , email char(25), …)</t>
  </si>
  <si>
    <t>Data Manipulation language</t>
  </si>
  <si>
    <t>Update,delete</t>
  </si>
  <si>
    <t>DDL, DML, DCL</t>
  </si>
  <si>
    <t>Grant connect to Admin identified by admin123</t>
  </si>
  <si>
    <t>Admin - DCL</t>
  </si>
  <si>
    <t>Authorization</t>
  </si>
  <si>
    <t>Primary key</t>
  </si>
  <si>
    <t>Master</t>
  </si>
  <si>
    <t xml:space="preserve">Users </t>
  </si>
  <si>
    <t>username</t>
  </si>
  <si>
    <t>create</t>
  </si>
  <si>
    <t>update</t>
  </si>
  <si>
    <t>delete</t>
  </si>
  <si>
    <t>edit</t>
  </si>
  <si>
    <t>Insert into users values("Admin1","admin123","Y","Y","Y","Y")</t>
  </si>
  <si>
    <t>Insert into users values("Admin","admin123","Y","Y","N","y")</t>
  </si>
  <si>
    <t>Customer</t>
  </si>
  <si>
    <t>policy1</t>
  </si>
  <si>
    <t>policy2</t>
  </si>
  <si>
    <t>policy3</t>
  </si>
  <si>
    <t>One to many relationship</t>
  </si>
  <si>
    <t>c002</t>
  </si>
  <si>
    <t>ABCD</t>
  </si>
  <si>
    <t>d03</t>
  </si>
  <si>
    <t>1CR</t>
  </si>
  <si>
    <t>List all the orders sorted by customers</t>
  </si>
  <si>
    <t>SELECT orders.orderid, orders.orderdate, orders.customerid,customers.customername FROM Orders , customers where orders.customerid = customers.customerid order by orders.customerid</t>
  </si>
  <si>
    <t>SELECT o.orderid, o.orderdate, o.customerid,c.customername FROM Orders as o , customers as c where o.customerid = c.customerid order by o.customerid</t>
  </si>
  <si>
    <t>aliases</t>
  </si>
  <si>
    <t>SELECT orderid,productid,quantity FROM OrderDetails;</t>
  </si>
  <si>
    <t>orderdetails</t>
  </si>
  <si>
    <t>OrderID</t>
  </si>
  <si>
    <t>CustomerID</t>
  </si>
  <si>
    <t>EmployeeID</t>
  </si>
  <si>
    <t>OrderDate</t>
  </si>
  <si>
    <t>orders table</t>
  </si>
  <si>
    <t>select orderid,productid,quantity, customerid,customername, employeeid from orderdetails,orders,customers</t>
  </si>
  <si>
    <t xml:space="preserve">select od.orderid,od.productid,od.quantity, o.customerid,c.customername, o.employeeid from orderdetails as od,orders as o ,customers as c </t>
  </si>
  <si>
    <t>where od.orderid= orders.orderid</t>
  </si>
  <si>
    <t xml:space="preserve">and </t>
  </si>
  <si>
    <t>o.customerid=c.customerid</t>
  </si>
  <si>
    <t>o.customerid=c.customerid order by o.customerid</t>
  </si>
  <si>
    <t>select od.orderid,od.productid,od.quantity, p.price, o.customerid,c.customername, o.employeeid ,e.firstname from orderdetails as od,orders as o ,customers as c ,products as p,employees as e</t>
  </si>
  <si>
    <t>where od.orderid= o.orderid and o.employeeid = e.employeeid and od.productid =p.productid</t>
  </si>
  <si>
    <t>select od.orderid,od.productid,od.quantity, p.price, od.quantity * p.price as "Total" , o.customerid,c.customername, o.employeeid ,e.firstname as "agentname" from orderdetails as od,orders as o ,customers as c ,products as p,employees as e</t>
  </si>
  <si>
    <t>customerwise order detail along with order total</t>
  </si>
  <si>
    <t>SELECT p.productname,p.categoryid,c.categoryname , c.description from</t>
  </si>
  <si>
    <t xml:space="preserve">products as p, categories as c </t>
  </si>
  <si>
    <t>where</t>
  </si>
  <si>
    <t>p.categoryid=c.categoryid</t>
  </si>
  <si>
    <t>for product name</t>
  </si>
  <si>
    <t>Working query - shopping cart</t>
  </si>
  <si>
    <t>o.customerid=c.customerid and o.customerid=7</t>
  </si>
  <si>
    <t>Indexes</t>
  </si>
  <si>
    <t>Harry</t>
  </si>
  <si>
    <t>c003</t>
  </si>
  <si>
    <t>Ria</t>
  </si>
  <si>
    <t>c004</t>
  </si>
  <si>
    <t>Helen</t>
  </si>
  <si>
    <t>customername</t>
  </si>
  <si>
    <t>select customername from customers</t>
  </si>
  <si>
    <t>list customers by name</t>
  </si>
  <si>
    <t>Index</t>
  </si>
  <si>
    <t>Create index custnameindex as (select customername from customers)</t>
  </si>
  <si>
    <t>c005</t>
  </si>
  <si>
    <t>Aman</t>
  </si>
  <si>
    <t>c006</t>
  </si>
  <si>
    <t>Balu</t>
  </si>
  <si>
    <t>Reindex</t>
  </si>
  <si>
    <t>Sales</t>
  </si>
  <si>
    <t>E</t>
  </si>
  <si>
    <t>W</t>
  </si>
  <si>
    <t>N</t>
  </si>
  <si>
    <t>S</t>
  </si>
  <si>
    <t>Zone</t>
  </si>
  <si>
    <t>O1</t>
  </si>
  <si>
    <t>O2</t>
  </si>
  <si>
    <t>ZONE</t>
  </si>
  <si>
    <t>Branch</t>
  </si>
  <si>
    <t>Agentcode</t>
  </si>
  <si>
    <t>A01</t>
  </si>
  <si>
    <t>A03</t>
  </si>
  <si>
    <t>A21</t>
  </si>
  <si>
    <t>A04</t>
  </si>
  <si>
    <t>end of for</t>
  </si>
  <si>
    <t>Aggregate function</t>
  </si>
  <si>
    <t>SELECT od.orderid, SUM(od.quantity * p.price) AS Total, o.customerid, c.customername, o.employeeid, e.firstname AS agentname FROM orderdetails AS od JOIN orders AS o ON od.orderid = o.orderid JOIN customers AS c ON o.customerid = c.customerid JOIN products AS p ON od.productid = p.productid JOIN employees AS e ON o.employeeid = e.employeeid GROUP BY od.orderid, o.customerid, c.customername, o.employeeid, e.firstname;</t>
  </si>
  <si>
    <r>
      <t xml:space="preserve">If you want </t>
    </r>
    <r>
      <rPr>
        <b/>
        <sz val="11"/>
        <color theme="1"/>
        <rFont val="Calibri"/>
        <family val="2"/>
        <scheme val="minor"/>
      </rPr>
      <t>one row per order with the complete order total</t>
    </r>
    <r>
      <rPr>
        <sz val="11"/>
        <color theme="1"/>
        <rFont val="Calibri"/>
        <family val="2"/>
        <scheme val="minor"/>
      </rPr>
      <t>, use:</t>
    </r>
  </si>
  <si>
    <t>customerwise total sales</t>
  </si>
  <si>
    <t>SELECT</t>
  </si>
  <si>
    <t xml:space="preserve">    o.customerid,</t>
  </si>
  <si>
    <t xml:space="preserve">    c.customername,</t>
  </si>
  <si>
    <t xml:space="preserve">    SUM(od.quantity * p.price) AS CustomerTotal</t>
  </si>
  <si>
    <t>FROM orderdetails AS od</t>
  </si>
  <si>
    <t>JOIN orders AS o</t>
  </si>
  <si>
    <t xml:space="preserve">    ON od.orderid = o.orderid</t>
  </si>
  <si>
    <t>JOIN customers AS c</t>
  </si>
  <si>
    <t xml:space="preserve">    ON o.customerid = c.customerid</t>
  </si>
  <si>
    <t>JOIN products AS p</t>
  </si>
  <si>
    <t xml:space="preserve">    ON od.productid = p.productid</t>
  </si>
  <si>
    <t>GROUP BY</t>
  </si>
  <si>
    <t xml:space="preserve">    c.customername</t>
  </si>
  <si>
    <t>ORDER BY</t>
  </si>
  <si>
    <t xml:space="preserve">    CustomerTotal DESC;</t>
  </si>
  <si>
    <t>Select top 3 customer by sales</t>
  </si>
  <si>
    <t>SELECT top 3</t>
  </si>
  <si>
    <t>Title case (proper case)</t>
  </si>
  <si>
    <t>SELECT CustomerName,</t>
  </si>
  <si>
    <t xml:space="preserve">       CONCAT(</t>
  </si>
  <si>
    <t xml:space="preserve">           UPPER(LEFT(CustomerName, 1)),</t>
  </si>
  <si>
    <t xml:space="preserve">       ) AS TitleCaseName</t>
  </si>
  <si>
    <t>FROM Customers;</t>
  </si>
  <si>
    <t xml:space="preserve">           LOWER(SUBSTRING(CustomerName, 2,len(customername)-1))</t>
  </si>
  <si>
    <t>Final Assessment - 25 marks</t>
  </si>
  <si>
    <t>Page object model</t>
  </si>
  <si>
    <t>Utilities</t>
  </si>
  <si>
    <t>Playwright configuration</t>
  </si>
  <si>
    <t>Data Driven Testing</t>
  </si>
  <si>
    <t>SQL basics</t>
  </si>
  <si>
    <t>Improvise this to check which category there are no products</t>
  </si>
  <si>
    <t>Sort low to high</t>
  </si>
  <si>
    <t>login to application</t>
  </si>
  <si>
    <t>select price low-high</t>
  </si>
  <si>
    <t>//*[contains(@data-test,"price")]</t>
  </si>
  <si>
    <t>sample xpath for saucedemo.com</t>
  </si>
  <si>
    <t>for each item in the no of items</t>
  </si>
  <si>
    <t xml:space="preserve">     convert each price into a number</t>
  </si>
  <si>
    <t xml:space="preserve">     populate a array with the number</t>
  </si>
  <si>
    <t>use the isSorted method to check if the array is sorted to make sure the script passes</t>
  </si>
  <si>
    <t>Use case</t>
  </si>
  <si>
    <t>SHETTY Sukshit Madhav</t>
  </si>
  <si>
    <t>not responding</t>
  </si>
  <si>
    <t>Not available during eval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</si>
</sst>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sz val="11"/>
      <color rgb="FFFF0000"/>
      <name val="Calibri"/>
      <family val="2"/>
      <scheme val="minor"/>
    </font>
    <font>
      <b/>
      <sz val="11"/>
      <color theme="1"/>
      <name val="Calibri"/>
      <family val="2"/>
      <scheme val="minor"/>
    </font>
    <font>
      <sz val="11"/>
      <color theme="7"/>
      <name val="Calibri"/>
      <family val="2"/>
      <scheme val="minor"/>
    </font>
    <font>
      <sz val="11"/>
      <color rgb="FF242424"/>
      <name val="Segoe UI"/>
      <family val="2"/>
    </font>
    <font>
      <sz val="11"/>
      <color theme="1"/>
      <name val="Aptos"/>
      <family val="2"/>
    </font>
    <font>
      <b/>
      <sz val="11"/>
      <color theme="1"/>
      <name val="Aptos"/>
      <family val="2"/>
    </font>
    <font>
      <b/>
      <sz val="18"/>
      <color theme="1"/>
      <name val="Calibri"/>
      <family val="2"/>
    </font>
    <font>
      <sz val="12"/>
      <color theme="1"/>
      <name val="Calibri"/>
      <family val="2"/>
    </font>
    <font>
      <b/>
      <sz val="12"/>
      <color theme="1"/>
      <name val="Calibri"/>
      <family val="2"/>
    </font>
    <font>
      <b/>
      <sz val="16"/>
      <color theme="1"/>
      <name val="Aptos"/>
      <family val="2"/>
    </font>
    <font>
      <sz val="12"/>
      <color theme="1"/>
      <name val="Aptos"/>
      <family val="2"/>
    </font>
    <font>
      <b/>
      <sz val="16"/>
      <color theme="1"/>
      <name val="Calibri"/>
      <family val="2"/>
    </font>
    <font>
      <sz val="12"/>
      <color theme="1"/>
      <name val="Symbol"/>
      <family val="1"/>
      <charset val="2"/>
    </font>
    <font>
      <sz val="7"/>
      <color theme="1"/>
      <name val="Times New Roman"/>
      <family val="1"/>
    </font>
    <font>
      <sz val="12"/>
      <color rgb="FF263238"/>
      <name val="Calibri"/>
      <family val="2"/>
    </font>
    <font>
      <sz val="12"/>
      <color rgb="FF000000"/>
      <name val="Calibri"/>
      <family val="2"/>
    </font>
    <font>
      <sz val="10"/>
      <color theme="1"/>
      <name val="Symbol"/>
      <family val="1"/>
      <charset val="2"/>
    </font>
    <font>
      <b/>
      <sz val="14"/>
      <color theme="1"/>
      <name val="Calibri"/>
      <family val="2"/>
    </font>
    <font>
      <sz val="12"/>
      <color rgb="FFEE0000"/>
      <name val="Calibri"/>
      <family val="2"/>
    </font>
    <font>
      <sz val="14"/>
      <color theme="1"/>
      <name val="Calibri"/>
      <family val="2"/>
    </font>
    <font>
      <sz val="14"/>
      <color theme="1"/>
      <name val="Symbol"/>
      <family val="1"/>
      <charset val="2"/>
    </font>
    <font>
      <sz val="10"/>
      <color theme="1"/>
      <name val="Courier New"/>
      <family val="3"/>
    </font>
    <font>
      <b/>
      <sz val="10"/>
      <color theme="1"/>
      <name val="Aptos"/>
      <family val="2"/>
    </font>
    <font>
      <b/>
      <sz val="10"/>
      <color theme="1"/>
      <name val="Calibri"/>
      <family val="2"/>
      <scheme val="minor"/>
    </font>
    <font>
      <sz val="10"/>
      <color theme="1"/>
      <name val="Calibri"/>
      <family val="2"/>
      <scheme val="minor"/>
    </font>
    <font>
      <sz val="10"/>
      <color theme="1"/>
      <name val="Aptos"/>
      <family val="2"/>
    </font>
    <font>
      <sz val="10"/>
      <color theme="1"/>
      <name val="Times New Roman"/>
      <family val="1"/>
    </font>
    <font>
      <sz val="9"/>
      <color rgb="FFE3E3E3"/>
      <name val="Courier New"/>
      <family val="3"/>
    </font>
    <font>
      <sz val="11"/>
      <name val="Calibri"/>
      <family val="2"/>
      <scheme val="minor"/>
    </font>
    <font>
      <sz val="9"/>
      <color rgb="FF424242"/>
      <name val="Segoe UI"/>
      <family val="2"/>
    </font>
    <font>
      <sz val="11"/>
      <color theme="1"/>
      <name val="Consolas"/>
      <family val="3"/>
    </font>
    <font>
      <sz val="11"/>
      <color rgb="FFCE9178"/>
      <name val="Consolas"/>
      <family val="3"/>
    </font>
    <font>
      <b/>
      <sz val="9"/>
      <color theme="1"/>
      <name val="Calibri"/>
      <family val="2"/>
      <scheme val="minor"/>
    </font>
    <font>
      <sz val="9"/>
      <color theme="1"/>
      <name val="Calibri"/>
      <family val="2"/>
      <scheme val="minor"/>
    </font>
    <font>
      <sz val="9"/>
      <color rgb="FF242424"/>
      <name val="Segoe UI"/>
      <family val="2"/>
    </font>
    <font>
      <u/>
      <sz val="11"/>
      <color theme="10"/>
      <name val="Calibri"/>
      <family val="2"/>
      <scheme val="minor"/>
    </font>
    <font>
      <b/>
      <sz val="11"/>
      <color rgb="FF000000"/>
      <name val="Verdana"/>
      <family val="2"/>
    </font>
  </fonts>
  <fills count="12">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8" tint="0.59996337778862885"/>
        <bgColor indexed="64"/>
      </patternFill>
    </fill>
    <fill>
      <patternFill patternType="solid">
        <fgColor theme="1"/>
        <bgColor indexed="64"/>
      </patternFill>
    </fill>
    <fill>
      <patternFill patternType="solid">
        <fgColor theme="7"/>
        <bgColor indexed="64"/>
      </patternFill>
    </fill>
    <fill>
      <patternFill patternType="solid">
        <fgColor rgb="FF92D050"/>
        <bgColor indexed="64"/>
      </patternFill>
    </fill>
    <fill>
      <patternFill patternType="solid">
        <fgColor theme="5"/>
        <bgColor indexed="64"/>
      </patternFill>
    </fill>
    <fill>
      <patternFill patternType="solid">
        <fgColor theme="0"/>
        <bgColor indexed="64"/>
      </patternFill>
    </fill>
    <fill>
      <patternFill patternType="solid">
        <fgColor rgb="FFFFC000"/>
        <bgColor indexed="64"/>
      </patternFill>
    </fill>
    <fill>
      <patternFill patternType="solid">
        <fgColor rgb="FFFFFFFF"/>
        <bgColor indexed="64"/>
      </patternFill>
    </fill>
  </fills>
  <borders count="9">
    <border>
      <left/>
      <right/>
      <top/>
      <bottom/>
      <diagonal/>
    </border>
    <border>
      <left style="medium">
        <color rgb="FFC9D8DC"/>
      </left>
      <right style="medium">
        <color rgb="FFC9D8DC"/>
      </right>
      <top style="medium">
        <color rgb="FFC9D8DC"/>
      </top>
      <bottom style="medium">
        <color rgb="FFC9D8DC"/>
      </bottom>
      <diagonal/>
    </border>
    <border>
      <left/>
      <right style="medium">
        <color rgb="FFC9D8DC"/>
      </right>
      <top style="medium">
        <color rgb="FFC9D8DC"/>
      </top>
      <bottom style="medium">
        <color rgb="FFC9D8DC"/>
      </bottom>
      <diagonal/>
    </border>
    <border>
      <left style="medium">
        <color rgb="FFC9D8DC"/>
      </left>
      <right style="medium">
        <color rgb="FFC9D8DC"/>
      </right>
      <top/>
      <bottom style="medium">
        <color rgb="FFC9D8DC"/>
      </bottom>
      <diagonal/>
    </border>
    <border>
      <left/>
      <right style="medium">
        <color rgb="FFC9D8DC"/>
      </right>
      <top/>
      <bottom style="medium">
        <color rgb="FFC9D8DC"/>
      </bottom>
      <diagonal/>
    </border>
    <border>
      <left style="thin">
        <color indexed="64"/>
      </left>
      <right style="thin">
        <color indexed="64"/>
      </right>
      <top style="thin">
        <color indexed="64"/>
      </top>
      <bottom style="thin">
        <color indexed="64"/>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2">
    <xf numFmtId="0" fontId="0" fillId="0" borderId="0"/>
    <xf numFmtId="0" fontId="36" fillId="0" borderId="0" applyNumberFormat="0" applyFill="0" applyBorder="0" applyAlignment="0" applyProtection="0"/>
  </cellStyleXfs>
  <cellXfs count="72">
    <xf numFmtId="0" fontId="0" fillId="0" borderId="0" xfId="0"/>
    <xf numFmtId="0" fontId="0" fillId="0" borderId="0" xfId="0" quotePrefix="1"/>
    <xf numFmtId="0" fontId="0" fillId="2" borderId="0" xfId="0" applyFill="1"/>
    <xf numFmtId="0" fontId="2" fillId="2" borderId="0" xfId="0" applyFont="1" applyFill="1"/>
    <xf numFmtId="0" fontId="1" fillId="0" borderId="0" xfId="0" applyFont="1"/>
    <xf numFmtId="0" fontId="1" fillId="3" borderId="0" xfId="0" applyFont="1" applyFill="1"/>
    <xf numFmtId="0" fontId="3" fillId="0" borderId="0" xfId="0" applyFont="1"/>
    <xf numFmtId="0" fontId="4" fillId="0" borderId="0" xfId="0" applyFont="1" applyAlignment="1">
      <alignment horizontal="left" vertical="center"/>
    </xf>
    <xf numFmtId="0" fontId="5" fillId="4" borderId="0" xfId="0" applyFont="1" applyFill="1" applyAlignment="1">
      <alignment vertical="center"/>
    </xf>
    <xf numFmtId="0" fontId="0" fillId="4" borderId="0" xfId="0" applyFill="1"/>
    <xf numFmtId="0" fontId="7" fillId="4" borderId="0" xfId="0" applyFont="1" applyFill="1" applyAlignment="1">
      <alignment vertical="center"/>
    </xf>
    <xf numFmtId="0" fontId="8" fillId="4" borderId="0" xfId="0" applyFont="1" applyFill="1" applyAlignment="1">
      <alignment vertical="center"/>
    </xf>
    <xf numFmtId="0" fontId="10" fillId="4" borderId="0" xfId="0" applyFont="1" applyFill="1" applyAlignment="1">
      <alignment vertical="center"/>
    </xf>
    <xf numFmtId="0" fontId="11" fillId="4" borderId="0" xfId="0" applyFont="1" applyFill="1" applyAlignment="1">
      <alignment vertical="center"/>
    </xf>
    <xf numFmtId="0" fontId="12" fillId="4" borderId="0" xfId="0" applyFont="1" applyFill="1" applyAlignment="1">
      <alignment vertical="center"/>
    </xf>
    <xf numFmtId="0" fontId="13" fillId="4" borderId="0" xfId="0" applyFont="1" applyFill="1" applyAlignment="1">
      <alignment horizontal="left" vertical="center" indent="2"/>
    </xf>
    <xf numFmtId="0" fontId="9" fillId="4" borderId="1" xfId="0" applyFont="1" applyFill="1" applyBorder="1" applyAlignment="1">
      <alignment vertical="center" wrapText="1"/>
    </xf>
    <xf numFmtId="0" fontId="9" fillId="4" borderId="2" xfId="0" applyFont="1" applyFill="1" applyBorder="1" applyAlignment="1">
      <alignment vertical="center" wrapText="1"/>
    </xf>
    <xf numFmtId="0" fontId="15" fillId="4" borderId="3" xfId="0" applyFont="1" applyFill="1" applyBorder="1" applyAlignment="1">
      <alignment vertical="center" wrapText="1"/>
    </xf>
    <xf numFmtId="0" fontId="16" fillId="4" borderId="4" xfId="0" applyFont="1" applyFill="1" applyBorder="1" applyAlignment="1">
      <alignment vertical="center" wrapText="1"/>
    </xf>
    <xf numFmtId="0" fontId="15" fillId="4" borderId="4" xfId="0" applyFont="1" applyFill="1" applyBorder="1" applyAlignment="1">
      <alignment vertical="center" wrapText="1"/>
    </xf>
    <xf numFmtId="0" fontId="23" fillId="4" borderId="5" xfId="0" applyFont="1" applyFill="1" applyBorder="1" applyAlignment="1">
      <alignment vertical="center"/>
    </xf>
    <xf numFmtId="0" fontId="0" fillId="4" borderId="5" xfId="0" applyFill="1" applyBorder="1"/>
    <xf numFmtId="15" fontId="25" fillId="4" borderId="5" xfId="0" applyNumberFormat="1" applyFont="1" applyFill="1" applyBorder="1"/>
    <xf numFmtId="0" fontId="25" fillId="4" borderId="5" xfId="0" applyFont="1" applyFill="1" applyBorder="1"/>
    <xf numFmtId="0" fontId="26" fillId="4" borderId="5" xfId="0" applyFont="1" applyFill="1" applyBorder="1" applyAlignment="1">
      <alignment vertical="center"/>
    </xf>
    <xf numFmtId="0" fontId="17" fillId="4" borderId="5" xfId="0" applyFont="1" applyFill="1" applyBorder="1" applyAlignment="1">
      <alignment horizontal="left" vertical="center" indent="5"/>
    </xf>
    <xf numFmtId="0" fontId="26" fillId="4" borderId="5" xfId="0" applyFont="1" applyFill="1" applyBorder="1" applyAlignment="1">
      <alignment horizontal="left" vertical="center" indent="1"/>
    </xf>
    <xf numFmtId="0" fontId="6" fillId="4" borderId="5" xfId="0" applyFont="1" applyFill="1" applyBorder="1" applyAlignment="1">
      <alignment vertical="center"/>
    </xf>
    <xf numFmtId="0" fontId="18" fillId="4" borderId="5" xfId="0" applyFont="1" applyFill="1" applyBorder="1" applyAlignment="1">
      <alignment vertical="center"/>
    </xf>
    <xf numFmtId="15" fontId="0" fillId="4" borderId="5" xfId="0" applyNumberFormat="1" applyFill="1" applyBorder="1"/>
    <xf numFmtId="0" fontId="8" fillId="4" borderId="5" xfId="0" applyFont="1" applyFill="1" applyBorder="1" applyAlignment="1">
      <alignment vertical="center"/>
    </xf>
    <xf numFmtId="0" fontId="9" fillId="4" borderId="5" xfId="0" applyFont="1" applyFill="1" applyBorder="1" applyAlignment="1">
      <alignment vertical="center"/>
    </xf>
    <xf numFmtId="0" fontId="8" fillId="4" borderId="5" xfId="0" applyFont="1" applyFill="1" applyBorder="1" applyAlignment="1">
      <alignment horizontal="left" vertical="center" indent="1"/>
    </xf>
    <xf numFmtId="0" fontId="8" fillId="4" borderId="5" xfId="0" applyFont="1" applyFill="1" applyBorder="1" applyAlignment="1">
      <alignment horizontal="left" vertical="center" indent="2"/>
    </xf>
    <xf numFmtId="0" fontId="19" fillId="4" borderId="5" xfId="0" applyFont="1" applyFill="1" applyBorder="1" applyAlignment="1">
      <alignment vertical="center"/>
    </xf>
    <xf numFmtId="0" fontId="8" fillId="4" borderId="5" xfId="0" applyFont="1" applyFill="1" applyBorder="1" applyAlignment="1">
      <alignment horizontal="left" vertical="center" indent="5"/>
    </xf>
    <xf numFmtId="0" fontId="20" fillId="4" borderId="5" xfId="0" applyFont="1" applyFill="1" applyBorder="1" applyAlignment="1">
      <alignment vertical="center"/>
    </xf>
    <xf numFmtId="0" fontId="21" fillId="4" borderId="5" xfId="0" applyFont="1" applyFill="1" applyBorder="1" applyAlignment="1">
      <alignment horizontal="left" vertical="center" indent="5"/>
    </xf>
    <xf numFmtId="0" fontId="22" fillId="4" borderId="5" xfId="0" applyFont="1" applyFill="1" applyBorder="1" applyAlignment="1">
      <alignment horizontal="left" vertical="center" indent="10"/>
    </xf>
    <xf numFmtId="0" fontId="23" fillId="2" borderId="5" xfId="0" applyFont="1" applyFill="1" applyBorder="1" applyAlignment="1">
      <alignment vertical="center"/>
    </xf>
    <xf numFmtId="0" fontId="24" fillId="2" borderId="5" xfId="0" applyFont="1" applyFill="1" applyBorder="1"/>
    <xf numFmtId="0" fontId="0" fillId="2" borderId="5" xfId="0" applyFill="1" applyBorder="1"/>
    <xf numFmtId="0" fontId="28" fillId="5" borderId="0" xfId="0" applyFont="1" applyFill="1"/>
    <xf numFmtId="0" fontId="2" fillId="0" borderId="0" xfId="0" applyFont="1"/>
    <xf numFmtId="0" fontId="0" fillId="6" borderId="0" xfId="0" applyFill="1"/>
    <xf numFmtId="0" fontId="29" fillId="7" borderId="0" xfId="0" applyFont="1" applyFill="1"/>
    <xf numFmtId="0" fontId="0" fillId="8" borderId="0" xfId="0" applyFill="1"/>
    <xf numFmtId="0" fontId="0" fillId="7" borderId="0" xfId="0" applyFill="1"/>
    <xf numFmtId="17" fontId="0" fillId="0" borderId="0" xfId="0" quotePrefix="1" applyNumberFormat="1"/>
    <xf numFmtId="0" fontId="30" fillId="0" borderId="0" xfId="0" applyFont="1" applyAlignment="1">
      <alignment horizontal="left" vertical="center"/>
    </xf>
    <xf numFmtId="0" fontId="0" fillId="0" borderId="5" xfId="0" applyBorder="1"/>
    <xf numFmtId="0" fontId="0" fillId="10" borderId="5" xfId="0" applyFill="1" applyBorder="1"/>
    <xf numFmtId="0" fontId="31" fillId="9" borderId="0" xfId="0" applyFont="1" applyFill="1" applyAlignment="1">
      <alignment vertical="center"/>
    </xf>
    <xf numFmtId="0" fontId="0" fillId="9" borderId="0" xfId="0" applyFill="1" applyAlignment="1">
      <alignment vertical="center"/>
    </xf>
    <xf numFmtId="0" fontId="32" fillId="0" borderId="0" xfId="0" applyFont="1" applyAlignment="1">
      <alignment vertical="center"/>
    </xf>
    <xf numFmtId="0" fontId="33" fillId="10" borderId="5" xfId="0" applyFont="1" applyFill="1" applyBorder="1" applyAlignment="1">
      <alignment vertical="top" wrapText="1"/>
    </xf>
    <xf numFmtId="0" fontId="33" fillId="10" borderId="0" xfId="0" applyFont="1" applyFill="1" applyAlignment="1">
      <alignment vertical="top" wrapText="1"/>
    </xf>
    <xf numFmtId="0" fontId="34" fillId="10" borderId="0" xfId="0" applyFont="1" applyFill="1" applyAlignment="1">
      <alignment vertical="top" wrapText="1"/>
    </xf>
    <xf numFmtId="0" fontId="35" fillId="0" borderId="5" xfId="0" applyFont="1" applyBorder="1" applyAlignment="1">
      <alignment horizontal="left" vertical="center"/>
    </xf>
    <xf numFmtId="0" fontId="34" fillId="0" borderId="5" xfId="0" applyFont="1" applyBorder="1" applyAlignment="1">
      <alignment horizontal="center"/>
    </xf>
    <xf numFmtId="0" fontId="34" fillId="2" borderId="5" xfId="0" applyFont="1" applyFill="1" applyBorder="1" applyAlignment="1">
      <alignment horizontal="center"/>
    </xf>
    <xf numFmtId="0" fontId="34" fillId="0" borderId="0" xfId="0" applyFont="1"/>
    <xf numFmtId="0" fontId="34" fillId="0" borderId="5" xfId="0" applyFont="1" applyBorder="1"/>
    <xf numFmtId="0" fontId="35" fillId="0" borderId="5" xfId="0" applyFont="1" applyBorder="1"/>
    <xf numFmtId="0" fontId="34" fillId="0" borderId="5" xfId="0" applyFont="1" applyBorder="1" applyAlignment="1">
      <alignment horizontal="left"/>
    </xf>
    <xf numFmtId="0" fontId="36" fillId="0" borderId="0" xfId="1"/>
    <xf numFmtId="0" fontId="37" fillId="11" borderId="6" xfId="0" applyFont="1" applyFill="1" applyBorder="1" applyAlignment="1">
      <alignment horizontal="left" vertical="top" wrapText="1" indent="1"/>
    </xf>
    <xf numFmtId="0" fontId="37" fillId="11" borderId="7" xfId="0" applyFont="1" applyFill="1" applyBorder="1" applyAlignment="1">
      <alignment horizontal="left" vertical="top" wrapText="1"/>
    </xf>
    <xf numFmtId="0" fontId="37" fillId="11" borderId="8" xfId="0" applyFont="1" applyFill="1" applyBorder="1" applyAlignment="1">
      <alignment horizontal="left" vertical="top" wrapText="1"/>
    </xf>
    <xf numFmtId="0" fontId="33" fillId="9" borderId="0" xfId="0" applyFont="1" applyFill="1" applyAlignment="1">
      <alignment vertical="top" wrapText="1"/>
    </xf>
    <xf numFmtId="15" fontId="0" fillId="0" borderId="5" xfId="0" applyNumberForma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1224A79-E9C3-4F0C-ABF2-35BCC58FA90A}">
  <we:reference id="wa200005669" version="2.0.0.0" store="en-US" storeType="OMEX"/>
  <we:alternateReferences>
    <we:reference id="wa200005669" version="2.0.0.0" store="wa200005669" storeType="OMEX"/>
  </we:alternateReferences>
  <we:properties/>
  <we:bindings/>
  <we:snapshot xmlns:r="http://schemas.openxmlformats.org/officeDocument/2006/relationships"/>
</we:webextension>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openxmlformats.org/officeDocument/2006/relationships/hyperlink" Target="https://insonline.com/admin" TargetMode="External"/><Relationship Id="rId2" Type="http://schemas.openxmlformats.org/officeDocument/2006/relationships/hyperlink" Target="https://insonline.com/" TargetMode="External"/><Relationship Id="rId1" Type="http://schemas.openxmlformats.org/officeDocument/2006/relationships/hyperlink" Target="mailto:abc@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45E7A-FE4A-44C4-B18D-FF22DFDF16A9}">
  <dimension ref="A4:O106"/>
  <sheetViews>
    <sheetView topLeftCell="A90" workbookViewId="0">
      <selection activeCell="D107" sqref="D107"/>
    </sheetView>
  </sheetViews>
  <sheetFormatPr defaultRowHeight="15" x14ac:dyDescent="0.25"/>
  <cols>
    <col min="2" max="2" width="16.5703125" customWidth="1"/>
    <col min="13" max="13" width="14.140625" customWidth="1"/>
  </cols>
  <sheetData>
    <row r="4" spans="1:15" x14ac:dyDescent="0.25">
      <c r="B4" t="s">
        <v>0</v>
      </c>
    </row>
    <row r="6" spans="1:15" x14ac:dyDescent="0.25">
      <c r="B6" t="s">
        <v>2</v>
      </c>
      <c r="H6" t="s">
        <v>5</v>
      </c>
    </row>
    <row r="7" spans="1:15" x14ac:dyDescent="0.25">
      <c r="B7" t="s">
        <v>1</v>
      </c>
      <c r="C7" t="s">
        <v>3</v>
      </c>
      <c r="D7" t="s">
        <v>4</v>
      </c>
      <c r="H7" t="s">
        <v>6</v>
      </c>
    </row>
    <row r="8" spans="1:15" x14ac:dyDescent="0.25">
      <c r="B8" t="s">
        <v>7</v>
      </c>
      <c r="H8" t="s">
        <v>8</v>
      </c>
    </row>
    <row r="9" spans="1:15" x14ac:dyDescent="0.25">
      <c r="B9" t="s">
        <v>9</v>
      </c>
      <c r="H9" t="s">
        <v>10</v>
      </c>
    </row>
    <row r="12" spans="1:15" x14ac:dyDescent="0.25">
      <c r="B12" t="s">
        <v>12</v>
      </c>
      <c r="J12" t="s">
        <v>22</v>
      </c>
    </row>
    <row r="13" spans="1:15" x14ac:dyDescent="0.25">
      <c r="A13" t="s">
        <v>18</v>
      </c>
      <c r="B13" t="s">
        <v>11</v>
      </c>
      <c r="F13" s="1" t="s">
        <v>14</v>
      </c>
      <c r="L13" t="s">
        <v>23</v>
      </c>
    </row>
    <row r="14" spans="1:15" x14ac:dyDescent="0.25">
      <c r="A14" t="s">
        <v>17</v>
      </c>
      <c r="B14" t="s">
        <v>13</v>
      </c>
      <c r="F14" s="1" t="s">
        <v>15</v>
      </c>
    </row>
    <row r="15" spans="1:15" x14ac:dyDescent="0.25">
      <c r="A15" t="s">
        <v>19</v>
      </c>
      <c r="B15" t="s">
        <v>16</v>
      </c>
      <c r="L15" t="s">
        <v>21</v>
      </c>
      <c r="M15" t="s">
        <v>20</v>
      </c>
      <c r="N15">
        <v>1</v>
      </c>
      <c r="O15">
        <v>2</v>
      </c>
    </row>
    <row r="99" spans="2:4" x14ac:dyDescent="0.25">
      <c r="D99" t="s">
        <v>592</v>
      </c>
    </row>
    <row r="100" spans="2:4" x14ac:dyDescent="0.25">
      <c r="B100" t="s">
        <v>94</v>
      </c>
    </row>
    <row r="101" spans="2:4" x14ac:dyDescent="0.25">
      <c r="B101" t="s">
        <v>95</v>
      </c>
      <c r="D101" t="s">
        <v>591</v>
      </c>
    </row>
    <row r="102" spans="2:4" x14ac:dyDescent="0.25">
      <c r="B102" t="s">
        <v>96</v>
      </c>
    </row>
    <row r="103" spans="2:4" x14ac:dyDescent="0.25">
      <c r="B103" t="s">
        <v>97</v>
      </c>
    </row>
    <row r="104" spans="2:4" x14ac:dyDescent="0.25">
      <c r="B104" t="s">
        <v>98</v>
      </c>
    </row>
    <row r="105" spans="2:4" x14ac:dyDescent="0.25">
      <c r="B105" t="s">
        <v>99</v>
      </c>
    </row>
    <row r="106" spans="2:4" x14ac:dyDescent="0.25">
      <c r="B106" t="s">
        <v>102</v>
      </c>
      <c r="D106" t="s">
        <v>591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C64F2-34FE-4740-BA7F-B01B1E462906}">
  <sheetPr filterMode="1"/>
  <dimension ref="A1:Q92"/>
  <sheetViews>
    <sheetView topLeftCell="A55" workbookViewId="0">
      <selection activeCell="A30" sqref="A30"/>
    </sheetView>
  </sheetViews>
  <sheetFormatPr defaultRowHeight="15" x14ac:dyDescent="0.25"/>
  <cols>
    <col min="5" max="5" width="13.42578125" customWidth="1"/>
  </cols>
  <sheetData>
    <row r="1" spans="3:17" x14ac:dyDescent="0.25">
      <c r="E1" t="s">
        <v>611</v>
      </c>
    </row>
    <row r="2" spans="3:17" x14ac:dyDescent="0.25">
      <c r="D2" s="48" t="s">
        <v>602</v>
      </c>
      <c r="E2" s="48" t="s">
        <v>603</v>
      </c>
      <c r="F2" s="48" t="s">
        <v>606</v>
      </c>
      <c r="G2" s="48" t="s">
        <v>607</v>
      </c>
      <c r="H2" s="48" t="s">
        <v>560</v>
      </c>
    </row>
    <row r="3" spans="3:17" x14ac:dyDescent="0.25">
      <c r="C3" t="s">
        <v>601</v>
      </c>
      <c r="D3" t="s">
        <v>604</v>
      </c>
      <c r="E3" t="s">
        <v>604</v>
      </c>
      <c r="F3" t="b">
        <v>1</v>
      </c>
      <c r="G3" t="b">
        <v>1</v>
      </c>
      <c r="H3" t="s">
        <v>39</v>
      </c>
      <c r="I3" t="s">
        <v>612</v>
      </c>
      <c r="J3" t="s">
        <v>616</v>
      </c>
      <c r="O3" t="s">
        <v>620</v>
      </c>
      <c r="P3" t="s">
        <v>621</v>
      </c>
    </row>
    <row r="4" spans="3:17" x14ac:dyDescent="0.25">
      <c r="C4" t="s">
        <v>608</v>
      </c>
      <c r="D4" t="s">
        <v>604</v>
      </c>
      <c r="E4" t="s">
        <v>609</v>
      </c>
      <c r="F4" t="b">
        <v>0</v>
      </c>
      <c r="G4" t="b">
        <v>1</v>
      </c>
      <c r="H4" t="s">
        <v>40</v>
      </c>
      <c r="I4" t="s">
        <v>613</v>
      </c>
      <c r="K4" t="s">
        <v>614</v>
      </c>
    </row>
    <row r="5" spans="3:17" x14ac:dyDescent="0.25">
      <c r="C5" t="s">
        <v>610</v>
      </c>
      <c r="D5" t="s">
        <v>609</v>
      </c>
      <c r="E5" t="s">
        <v>609</v>
      </c>
      <c r="F5" t="b">
        <v>0</v>
      </c>
      <c r="G5" t="b">
        <v>1</v>
      </c>
      <c r="H5" t="s">
        <v>40</v>
      </c>
      <c r="I5" t="s">
        <v>613</v>
      </c>
      <c r="K5" t="s">
        <v>615</v>
      </c>
    </row>
    <row r="6" spans="3:17" x14ac:dyDescent="0.25">
      <c r="C6" t="s">
        <v>622</v>
      </c>
      <c r="D6" t="s">
        <v>623</v>
      </c>
      <c r="E6" t="s">
        <v>604</v>
      </c>
      <c r="F6" t="b">
        <v>1</v>
      </c>
    </row>
    <row r="12" spans="3:17" x14ac:dyDescent="0.25">
      <c r="E12" t="s">
        <v>619</v>
      </c>
      <c r="F12" t="s">
        <v>617</v>
      </c>
      <c r="G12" t="s">
        <v>618</v>
      </c>
      <c r="I12" t="s">
        <v>605</v>
      </c>
    </row>
    <row r="15" spans="3:17" x14ac:dyDescent="0.25">
      <c r="J15" t="s">
        <v>624</v>
      </c>
      <c r="K15" t="s">
        <v>625</v>
      </c>
      <c r="Q15" t="s">
        <v>630</v>
      </c>
    </row>
    <row r="16" spans="3:17" x14ac:dyDescent="0.25">
      <c r="J16" t="s">
        <v>627</v>
      </c>
      <c r="K16" t="s">
        <v>628</v>
      </c>
    </row>
    <row r="17" spans="1:11" x14ac:dyDescent="0.25">
      <c r="J17" t="s">
        <v>626</v>
      </c>
      <c r="K17" t="s">
        <v>629</v>
      </c>
    </row>
    <row r="18" spans="1:11" x14ac:dyDescent="0.25">
      <c r="F18" t="s">
        <v>631</v>
      </c>
      <c r="G18" t="s">
        <v>607</v>
      </c>
    </row>
    <row r="19" spans="1:11" x14ac:dyDescent="0.25">
      <c r="E19" t="s">
        <v>629</v>
      </c>
      <c r="F19">
        <v>120</v>
      </c>
      <c r="G19">
        <v>118</v>
      </c>
    </row>
    <row r="21" spans="1:11" x14ac:dyDescent="0.25">
      <c r="H21" t="s">
        <v>629</v>
      </c>
    </row>
    <row r="23" spans="1:11" x14ac:dyDescent="0.25">
      <c r="D23" t="s">
        <v>632</v>
      </c>
      <c r="E23" t="s">
        <v>633</v>
      </c>
    </row>
    <row r="28" spans="1:11" x14ac:dyDescent="0.25">
      <c r="A28" t="s">
        <v>634</v>
      </c>
    </row>
    <row r="30" spans="1:11" x14ac:dyDescent="0.25">
      <c r="A30" t="s">
        <v>655</v>
      </c>
    </row>
    <row r="31" spans="1:11" hidden="1" x14ac:dyDescent="0.25">
      <c r="A31" t="s">
        <v>635</v>
      </c>
    </row>
    <row r="32" spans="1:11" hidden="1" x14ac:dyDescent="0.25">
      <c r="A32" t="s">
        <v>636</v>
      </c>
    </row>
    <row r="33" spans="1:1" hidden="1" x14ac:dyDescent="0.25">
      <c r="A33" t="s">
        <v>637</v>
      </c>
    </row>
    <row r="34" spans="1:1" hidden="1" x14ac:dyDescent="0.25">
      <c r="A34" t="s">
        <v>638</v>
      </c>
    </row>
    <row r="35" spans="1:1" hidden="1" x14ac:dyDescent="0.25">
      <c r="A35" t="s">
        <v>639</v>
      </c>
    </row>
    <row r="36" spans="1:1" hidden="1" x14ac:dyDescent="0.25">
      <c r="A36" t="s">
        <v>640</v>
      </c>
    </row>
    <row r="37" spans="1:1" hidden="1" x14ac:dyDescent="0.25">
      <c r="A37" t="s">
        <v>641</v>
      </c>
    </row>
    <row r="38" spans="1:1" hidden="1" x14ac:dyDescent="0.25">
      <c r="A38" t="s">
        <v>642</v>
      </c>
    </row>
    <row r="39" spans="1:1" hidden="1" x14ac:dyDescent="0.25">
      <c r="A39" t="s">
        <v>643</v>
      </c>
    </row>
    <row r="40" spans="1:1" hidden="1" x14ac:dyDescent="0.25">
      <c r="A40" t="s">
        <v>644</v>
      </c>
    </row>
    <row r="41" spans="1:1" hidden="1" x14ac:dyDescent="0.25">
      <c r="A41" t="s">
        <v>645</v>
      </c>
    </row>
    <row r="42" spans="1:1" hidden="1" x14ac:dyDescent="0.25">
      <c r="A42" t="s">
        <v>646</v>
      </c>
    </row>
    <row r="43" spans="1:1" hidden="1" x14ac:dyDescent="0.25">
      <c r="A43" t="s">
        <v>647</v>
      </c>
    </row>
    <row r="44" spans="1:1" hidden="1" x14ac:dyDescent="0.25">
      <c r="A44" t="s">
        <v>648</v>
      </c>
    </row>
    <row r="45" spans="1:1" hidden="1" x14ac:dyDescent="0.25">
      <c r="A45" t="s">
        <v>649</v>
      </c>
    </row>
    <row r="46" spans="1:1" hidden="1" x14ac:dyDescent="0.25">
      <c r="A46" t="s">
        <v>650</v>
      </c>
    </row>
    <row r="47" spans="1:1" hidden="1" x14ac:dyDescent="0.25">
      <c r="A47" t="s">
        <v>651</v>
      </c>
    </row>
    <row r="48" spans="1:1" hidden="1" x14ac:dyDescent="0.25">
      <c r="A48" t="s">
        <v>652</v>
      </c>
    </row>
    <row r="49" spans="1:1" hidden="1" x14ac:dyDescent="0.25">
      <c r="A49" t="s">
        <v>653</v>
      </c>
    </row>
    <row r="50" spans="1:1" hidden="1" x14ac:dyDescent="0.25">
      <c r="A50" t="s">
        <v>654</v>
      </c>
    </row>
    <row r="51" spans="1:1" x14ac:dyDescent="0.25">
      <c r="A51" t="s">
        <v>656</v>
      </c>
    </row>
    <row r="52" spans="1:1" x14ac:dyDescent="0.25">
      <c r="A52" t="s">
        <v>657</v>
      </c>
    </row>
    <row r="53" spans="1:1" x14ac:dyDescent="0.25">
      <c r="A53" t="s">
        <v>658</v>
      </c>
    </row>
    <row r="54" spans="1:1" x14ac:dyDescent="0.25">
      <c r="A54" t="s">
        <v>659</v>
      </c>
    </row>
    <row r="55" spans="1:1" x14ac:dyDescent="0.25">
      <c r="A55" t="s">
        <v>660</v>
      </c>
    </row>
    <row r="56" spans="1:1" x14ac:dyDescent="0.25">
      <c r="A56" t="s">
        <v>661</v>
      </c>
    </row>
    <row r="57" spans="1:1" x14ac:dyDescent="0.25">
      <c r="A57" t="s">
        <v>662</v>
      </c>
    </row>
    <row r="58" spans="1:1" x14ac:dyDescent="0.25">
      <c r="A58" t="s">
        <v>663</v>
      </c>
    </row>
    <row r="59" spans="1:1" x14ac:dyDescent="0.25">
      <c r="A59" t="s">
        <v>664</v>
      </c>
    </row>
    <row r="60" spans="1:1" x14ac:dyDescent="0.25">
      <c r="A60" t="s">
        <v>665</v>
      </c>
    </row>
    <row r="61" spans="1:1" x14ac:dyDescent="0.25">
      <c r="A61" t="s">
        <v>666</v>
      </c>
    </row>
    <row r="62" spans="1:1" x14ac:dyDescent="0.25">
      <c r="A62" t="s">
        <v>667</v>
      </c>
    </row>
    <row r="63" spans="1:1" x14ac:dyDescent="0.25">
      <c r="A63" t="s">
        <v>668</v>
      </c>
    </row>
    <row r="64" spans="1:1" x14ac:dyDescent="0.25">
      <c r="A64" t="s">
        <v>669</v>
      </c>
    </row>
    <row r="65" spans="1:1" x14ac:dyDescent="0.25">
      <c r="A65" t="s">
        <v>670</v>
      </c>
    </row>
    <row r="66" spans="1:1" x14ac:dyDescent="0.25">
      <c r="A66" t="s">
        <v>671</v>
      </c>
    </row>
    <row r="67" spans="1:1" x14ac:dyDescent="0.25">
      <c r="A67" t="s">
        <v>672</v>
      </c>
    </row>
    <row r="68" spans="1:1" x14ac:dyDescent="0.25">
      <c r="A68" t="s">
        <v>673</v>
      </c>
    </row>
    <row r="69" spans="1:1" x14ac:dyDescent="0.25">
      <c r="A69" t="s">
        <v>593</v>
      </c>
    </row>
    <row r="70" spans="1:1" hidden="1" x14ac:dyDescent="0.25">
      <c r="A70" t="s">
        <v>594</v>
      </c>
    </row>
    <row r="71" spans="1:1" x14ac:dyDescent="0.25">
      <c r="A71" t="s">
        <v>595</v>
      </c>
    </row>
    <row r="72" spans="1:1" hidden="1" x14ac:dyDescent="0.25">
      <c r="A72" t="s">
        <v>596</v>
      </c>
    </row>
    <row r="73" spans="1:1" hidden="1" x14ac:dyDescent="0.25">
      <c r="A73" t="s">
        <v>597</v>
      </c>
    </row>
    <row r="74" spans="1:1" hidden="1" x14ac:dyDescent="0.25">
      <c r="A74" t="s">
        <v>598</v>
      </c>
    </row>
    <row r="75" spans="1:1" x14ac:dyDescent="0.25">
      <c r="A75" t="s">
        <v>674</v>
      </c>
    </row>
    <row r="76" spans="1:1" x14ac:dyDescent="0.25">
      <c r="A76" t="s">
        <v>599</v>
      </c>
    </row>
    <row r="77" spans="1:1" hidden="1" x14ac:dyDescent="0.25">
      <c r="A77" t="s">
        <v>594</v>
      </c>
    </row>
    <row r="78" spans="1:1" x14ac:dyDescent="0.25">
      <c r="A78" t="s">
        <v>600</v>
      </c>
    </row>
    <row r="79" spans="1:1" hidden="1" x14ac:dyDescent="0.25">
      <c r="A79" t="s">
        <v>596</v>
      </c>
    </row>
    <row r="80" spans="1:1" hidden="1" x14ac:dyDescent="0.25">
      <c r="A80" t="s">
        <v>597</v>
      </c>
    </row>
    <row r="81" spans="1:1" hidden="1" x14ac:dyDescent="0.25">
      <c r="A81" t="s">
        <v>598</v>
      </c>
    </row>
    <row r="82" spans="1:1" x14ac:dyDescent="0.25">
      <c r="A82" t="s">
        <v>675</v>
      </c>
    </row>
    <row r="83" spans="1:1" hidden="1" x14ac:dyDescent="0.25">
      <c r="A83" t="s">
        <v>676</v>
      </c>
    </row>
    <row r="84" spans="1:1" hidden="1" x14ac:dyDescent="0.25">
      <c r="A84" t="s">
        <v>677</v>
      </c>
    </row>
    <row r="85" spans="1:1" hidden="1" x14ac:dyDescent="0.25">
      <c r="A85" t="s">
        <v>678</v>
      </c>
    </row>
    <row r="86" spans="1:1" hidden="1" x14ac:dyDescent="0.25">
      <c r="A86" t="s">
        <v>679</v>
      </c>
    </row>
    <row r="87" spans="1:1" hidden="1" x14ac:dyDescent="0.25">
      <c r="A87" t="s">
        <v>680</v>
      </c>
    </row>
    <row r="88" spans="1:1" hidden="1" x14ac:dyDescent="0.25">
      <c r="A88" t="s">
        <v>681</v>
      </c>
    </row>
    <row r="89" spans="1:1" hidden="1" x14ac:dyDescent="0.25">
      <c r="A89" t="s">
        <v>682</v>
      </c>
    </row>
    <row r="90" spans="1:1" hidden="1" x14ac:dyDescent="0.25">
      <c r="A90" t="s">
        <v>683</v>
      </c>
    </row>
    <row r="91" spans="1:1" x14ac:dyDescent="0.25">
      <c r="A91" t="s">
        <v>684</v>
      </c>
    </row>
    <row r="92" spans="1:1" hidden="1" x14ac:dyDescent="0.25">
      <c r="A92" t="s">
        <v>685</v>
      </c>
    </row>
  </sheetData>
  <autoFilter ref="A30:Q92" xr:uid="{D90C64F2-34FE-4740-BA7F-B01B1E462906}">
    <filterColumn colId="0">
      <customFilters>
        <customFilter val="*BROKEN*"/>
      </custom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716CE-CFD6-4ADE-9CE5-1AFF6EA62D47}">
  <dimension ref="A1:H107"/>
  <sheetViews>
    <sheetView topLeftCell="A14" workbookViewId="0">
      <selection activeCell="A22" sqref="A22:H33"/>
    </sheetView>
  </sheetViews>
  <sheetFormatPr defaultRowHeight="15" x14ac:dyDescent="0.25"/>
  <cols>
    <col min="1" max="1" width="26" customWidth="1"/>
    <col min="2" max="2" width="14.42578125" customWidth="1"/>
    <col min="3" max="3" width="10.42578125" customWidth="1"/>
    <col min="4" max="4" width="9" customWidth="1"/>
    <col min="5" max="5" width="12.140625" customWidth="1"/>
    <col min="6" max="6" width="11" customWidth="1"/>
    <col min="8" max="8" width="37.5703125" customWidth="1"/>
  </cols>
  <sheetData>
    <row r="1" spans="1:1" x14ac:dyDescent="0.25">
      <c r="A1" s="2" t="s">
        <v>691</v>
      </c>
    </row>
    <row r="3" spans="1:1" x14ac:dyDescent="0.25">
      <c r="A3" s="3" t="s">
        <v>692</v>
      </c>
    </row>
    <row r="4" spans="1:1" x14ac:dyDescent="0.25">
      <c r="A4" t="s">
        <v>693</v>
      </c>
    </row>
    <row r="5" spans="1:1" x14ac:dyDescent="0.25">
      <c r="A5" t="s">
        <v>694</v>
      </c>
    </row>
    <row r="7" spans="1:1" x14ac:dyDescent="0.25">
      <c r="A7" t="s">
        <v>695</v>
      </c>
    </row>
    <row r="9" spans="1:1" x14ac:dyDescent="0.25">
      <c r="A9" t="s">
        <v>696</v>
      </c>
    </row>
    <row r="11" spans="1:1" x14ac:dyDescent="0.25">
      <c r="A11" t="s">
        <v>697</v>
      </c>
    </row>
    <row r="12" spans="1:1" x14ac:dyDescent="0.25">
      <c r="A12" t="s">
        <v>698</v>
      </c>
    </row>
    <row r="13" spans="1:1" x14ac:dyDescent="0.25">
      <c r="A13" t="s">
        <v>699</v>
      </c>
    </row>
    <row r="14" spans="1:1" x14ac:dyDescent="0.25">
      <c r="A14" t="s">
        <v>700</v>
      </c>
    </row>
    <row r="15" spans="1:1" x14ac:dyDescent="0.25">
      <c r="A15" t="s">
        <v>701</v>
      </c>
    </row>
    <row r="16" spans="1:1" x14ac:dyDescent="0.25">
      <c r="A16" t="s">
        <v>702</v>
      </c>
    </row>
    <row r="17" spans="1:8" x14ac:dyDescent="0.25">
      <c r="A17" t="s">
        <v>703</v>
      </c>
    </row>
    <row r="18" spans="1:8" x14ac:dyDescent="0.25">
      <c r="A18" t="s">
        <v>704</v>
      </c>
    </row>
    <row r="19" spans="1:8" x14ac:dyDescent="0.25">
      <c r="A19" t="s">
        <v>705</v>
      </c>
    </row>
    <row r="20" spans="1:8" x14ac:dyDescent="0.25">
      <c r="A20" t="s">
        <v>706</v>
      </c>
    </row>
    <row r="22" spans="1:8" x14ac:dyDescent="0.25">
      <c r="A22" s="51"/>
      <c r="B22" s="51"/>
      <c r="C22" s="52" t="s">
        <v>713</v>
      </c>
      <c r="D22" s="51"/>
      <c r="E22" s="51"/>
      <c r="F22" s="51"/>
      <c r="G22" s="51"/>
    </row>
    <row r="23" spans="1:8" x14ac:dyDescent="0.25">
      <c r="A23" s="51"/>
      <c r="B23" s="51"/>
      <c r="C23" s="51"/>
      <c r="D23" s="51"/>
      <c r="E23" s="51"/>
      <c r="F23" s="51"/>
      <c r="G23" s="51"/>
    </row>
    <row r="24" spans="1:8" s="58" customFormat="1" ht="40.5" customHeight="1" x14ac:dyDescent="0.25">
      <c r="A24" s="56" t="s">
        <v>710</v>
      </c>
      <c r="B24" s="56" t="s">
        <v>707</v>
      </c>
      <c r="C24" s="56" t="s">
        <v>708</v>
      </c>
      <c r="D24" s="56" t="s">
        <v>709</v>
      </c>
      <c r="E24" s="56" t="s">
        <v>714</v>
      </c>
      <c r="F24" s="56" t="s">
        <v>711</v>
      </c>
      <c r="G24" s="56" t="s">
        <v>712</v>
      </c>
      <c r="H24" s="57" t="s">
        <v>742</v>
      </c>
    </row>
    <row r="25" spans="1:8" s="62" customFormat="1" ht="12" x14ac:dyDescent="0.2">
      <c r="A25" s="59" t="s">
        <v>95</v>
      </c>
      <c r="B25" s="60">
        <v>4</v>
      </c>
      <c r="C25" s="60">
        <v>4</v>
      </c>
      <c r="D25" s="60">
        <v>5</v>
      </c>
      <c r="E25" s="60">
        <v>3</v>
      </c>
      <c r="F25" s="60">
        <v>5</v>
      </c>
      <c r="G25" s="61">
        <f>(SUM(B25:F25)/25)*100</f>
        <v>84</v>
      </c>
    </row>
    <row r="26" spans="1:8" s="62" customFormat="1" ht="12" x14ac:dyDescent="0.2">
      <c r="A26" s="59" t="s">
        <v>99</v>
      </c>
      <c r="B26" s="60">
        <v>5</v>
      </c>
      <c r="C26" s="60">
        <v>5</v>
      </c>
      <c r="D26" s="60">
        <v>4</v>
      </c>
      <c r="E26" s="60">
        <v>2</v>
      </c>
      <c r="F26" s="60">
        <v>5</v>
      </c>
      <c r="G26" s="61">
        <f>(SUM(B26:F26)/25)*100</f>
        <v>84</v>
      </c>
    </row>
    <row r="27" spans="1:8" s="62" customFormat="1" ht="12" x14ac:dyDescent="0.2">
      <c r="A27" s="63" t="s">
        <v>715</v>
      </c>
      <c r="B27" s="60">
        <v>4</v>
      </c>
      <c r="C27" s="60">
        <v>3</v>
      </c>
      <c r="D27" s="60">
        <v>5</v>
      </c>
      <c r="E27" s="60">
        <v>3</v>
      </c>
      <c r="F27" s="60">
        <v>5</v>
      </c>
      <c r="G27" s="61">
        <f>(SUM(B27:F27)/25)*100</f>
        <v>80</v>
      </c>
    </row>
    <row r="28" spans="1:8" s="62" customFormat="1" ht="12" x14ac:dyDescent="0.2">
      <c r="A28" s="59" t="s">
        <v>94</v>
      </c>
      <c r="B28" s="60">
        <v>3</v>
      </c>
      <c r="C28" s="60">
        <v>0</v>
      </c>
      <c r="D28" s="60">
        <v>3</v>
      </c>
      <c r="E28" s="60">
        <v>2</v>
      </c>
      <c r="F28" s="60">
        <v>4</v>
      </c>
      <c r="G28" s="61">
        <f>(SUM(B28:F28)/25)*100</f>
        <v>48</v>
      </c>
    </row>
    <row r="29" spans="1:8" s="62" customFormat="1" ht="12" x14ac:dyDescent="0.2">
      <c r="A29" s="59" t="s">
        <v>96</v>
      </c>
      <c r="B29" s="65" t="s">
        <v>735</v>
      </c>
      <c r="C29" s="60"/>
      <c r="D29" s="60"/>
      <c r="E29" s="60"/>
      <c r="F29" s="60"/>
      <c r="G29" s="61"/>
      <c r="H29" s="62" t="s">
        <v>741</v>
      </c>
    </row>
    <row r="30" spans="1:8" s="62" customFormat="1" ht="12" x14ac:dyDescent="0.2">
      <c r="A30" s="59" t="s">
        <v>97</v>
      </c>
      <c r="B30" s="60">
        <v>4</v>
      </c>
      <c r="C30" s="60">
        <v>3</v>
      </c>
      <c r="D30" s="60">
        <v>3</v>
      </c>
      <c r="E30" s="60">
        <v>3</v>
      </c>
      <c r="F30" s="60">
        <v>3</v>
      </c>
      <c r="G30" s="61">
        <f>(SUM(B30:F30)/25)*100</f>
        <v>64</v>
      </c>
      <c r="H30" s="62" t="s">
        <v>743</v>
      </c>
    </row>
    <row r="31" spans="1:8" s="62" customFormat="1" ht="12" x14ac:dyDescent="0.2">
      <c r="A31" s="59" t="s">
        <v>100</v>
      </c>
      <c r="B31" s="60" t="s">
        <v>734</v>
      </c>
      <c r="C31" s="60"/>
      <c r="D31" s="60"/>
      <c r="E31" s="60"/>
      <c r="F31" s="60"/>
      <c r="G31" s="61"/>
    </row>
    <row r="32" spans="1:8" s="62" customFormat="1" ht="12" x14ac:dyDescent="0.2">
      <c r="A32" s="59" t="s">
        <v>101</v>
      </c>
      <c r="B32" s="60" t="s">
        <v>744</v>
      </c>
      <c r="C32" s="60"/>
      <c r="D32" s="60"/>
      <c r="E32" s="60"/>
      <c r="F32" s="60"/>
      <c r="G32" s="61"/>
    </row>
    <row r="33" spans="1:7" s="62" customFormat="1" ht="12" x14ac:dyDescent="0.2">
      <c r="A33" s="64" t="s">
        <v>98</v>
      </c>
      <c r="B33" s="60" t="s">
        <v>744</v>
      </c>
      <c r="C33" s="60"/>
      <c r="D33" s="60"/>
      <c r="E33" s="60"/>
      <c r="F33" s="60"/>
      <c r="G33" s="61"/>
    </row>
    <row r="34" spans="1:7" s="62" customFormat="1" ht="12" x14ac:dyDescent="0.2"/>
    <row r="51" spans="1:4" x14ac:dyDescent="0.25">
      <c r="C51" t="s">
        <v>716</v>
      </c>
    </row>
    <row r="53" spans="1:4" x14ac:dyDescent="0.25">
      <c r="D53" t="s">
        <v>720</v>
      </c>
    </row>
    <row r="54" spans="1:4" x14ac:dyDescent="0.25">
      <c r="A54" t="s">
        <v>718</v>
      </c>
      <c r="B54" t="s">
        <v>717</v>
      </c>
      <c r="D54" t="s">
        <v>721</v>
      </c>
    </row>
    <row r="55" spans="1:4" x14ac:dyDescent="0.25">
      <c r="A55" t="s">
        <v>719</v>
      </c>
      <c r="B55" t="s">
        <v>722</v>
      </c>
      <c r="D55" t="s">
        <v>723</v>
      </c>
    </row>
    <row r="59" spans="1:4" x14ac:dyDescent="0.25">
      <c r="C59" t="s">
        <v>724</v>
      </c>
    </row>
    <row r="61" spans="1:4" x14ac:dyDescent="0.25">
      <c r="C61" t="s">
        <v>726</v>
      </c>
    </row>
    <row r="64" spans="1:4" x14ac:dyDescent="0.25">
      <c r="C64" t="s">
        <v>725</v>
      </c>
    </row>
    <row r="76" spans="3:6" x14ac:dyDescent="0.25">
      <c r="C76" t="s">
        <v>727</v>
      </c>
      <c r="D76" t="s">
        <v>728</v>
      </c>
    </row>
    <row r="77" spans="3:6" x14ac:dyDescent="0.25">
      <c r="E77" t="s">
        <v>729</v>
      </c>
      <c r="F77" s="2" t="s">
        <v>731</v>
      </c>
    </row>
    <row r="85" spans="4:5" x14ac:dyDescent="0.25">
      <c r="D85" t="s">
        <v>730</v>
      </c>
    </row>
    <row r="86" spans="4:5" x14ac:dyDescent="0.25">
      <c r="D86" t="s">
        <v>732</v>
      </c>
      <c r="E86" t="s">
        <v>733</v>
      </c>
    </row>
    <row r="99" spans="3:5" x14ac:dyDescent="0.25">
      <c r="C99" t="s">
        <v>688</v>
      </c>
      <c r="D99" t="s">
        <v>689</v>
      </c>
      <c r="E99" t="s">
        <v>690</v>
      </c>
    </row>
    <row r="100" spans="3:5" ht="16.5" x14ac:dyDescent="0.25">
      <c r="C100" s="7" t="s">
        <v>94</v>
      </c>
    </row>
    <row r="101" spans="3:5" ht="16.5" x14ac:dyDescent="0.25">
      <c r="C101" s="7" t="s">
        <v>95</v>
      </c>
    </row>
    <row r="102" spans="3:5" ht="16.5" x14ac:dyDescent="0.25">
      <c r="C102" s="7" t="s">
        <v>686</v>
      </c>
    </row>
    <row r="103" spans="3:5" x14ac:dyDescent="0.25">
      <c r="C103" s="50" t="s">
        <v>687</v>
      </c>
    </row>
    <row r="104" spans="3:5" ht="16.5" x14ac:dyDescent="0.25">
      <c r="C104" s="7" t="s">
        <v>97</v>
      </c>
    </row>
    <row r="105" spans="3:5" ht="16.5" x14ac:dyDescent="0.25">
      <c r="C105" s="7" t="s">
        <v>99</v>
      </c>
    </row>
    <row r="106" spans="3:5" ht="16.5" x14ac:dyDescent="0.25">
      <c r="C106" s="7" t="s">
        <v>100</v>
      </c>
    </row>
    <row r="107" spans="3:5" ht="16.5" x14ac:dyDescent="0.25">
      <c r="C107" s="7" t="s">
        <v>102</v>
      </c>
    </row>
  </sheetData>
  <autoFilter ref="A24:G33" xr:uid="{91A716CE-CFD6-4ADE-9CE5-1AFF6EA62D47}">
    <sortState xmlns:xlrd2="http://schemas.microsoft.com/office/spreadsheetml/2017/richdata2" ref="A25:G33">
      <sortCondition descending="1" ref="G24:G33"/>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810C3-0C54-4D58-A961-E1B26DA7CC71}">
  <dimension ref="A1:H13"/>
  <sheetViews>
    <sheetView tabSelected="1" workbookViewId="0">
      <selection activeCell="B8" sqref="B8"/>
    </sheetView>
  </sheetViews>
  <sheetFormatPr defaultRowHeight="15" x14ac:dyDescent="0.25"/>
  <cols>
    <col min="1" max="1" width="28.7109375" customWidth="1"/>
  </cols>
  <sheetData>
    <row r="1" spans="1:8" x14ac:dyDescent="0.25">
      <c r="A1" s="71">
        <v>46287</v>
      </c>
      <c r="B1" s="51"/>
      <c r="C1" s="42" t="s">
        <v>910</v>
      </c>
      <c r="D1" s="42"/>
      <c r="E1" s="42"/>
      <c r="F1" s="51"/>
      <c r="G1" s="51"/>
    </row>
    <row r="2" spans="1:8" x14ac:dyDescent="0.25">
      <c r="A2" s="51"/>
      <c r="B2" s="51"/>
      <c r="C2" s="51"/>
      <c r="D2" s="51"/>
      <c r="E2" s="51"/>
      <c r="F2" s="51"/>
      <c r="G2" s="51"/>
    </row>
    <row r="3" spans="1:8" ht="36" x14ac:dyDescent="0.25">
      <c r="A3" s="56" t="s">
        <v>710</v>
      </c>
      <c r="B3" s="56" t="s">
        <v>911</v>
      </c>
      <c r="C3" s="56" t="s">
        <v>912</v>
      </c>
      <c r="D3" s="56" t="s">
        <v>913</v>
      </c>
      <c r="E3" s="56" t="s">
        <v>914</v>
      </c>
      <c r="F3" s="56" t="s">
        <v>915</v>
      </c>
      <c r="G3" s="56" t="s">
        <v>712</v>
      </c>
      <c r="H3" s="70"/>
    </row>
    <row r="4" spans="1:8" x14ac:dyDescent="0.25">
      <c r="A4" s="60" t="s">
        <v>94</v>
      </c>
      <c r="B4" s="60">
        <v>2</v>
      </c>
      <c r="C4" s="60"/>
      <c r="D4" s="60">
        <v>2</v>
      </c>
      <c r="E4" s="60"/>
      <c r="F4" s="60">
        <v>4</v>
      </c>
      <c r="G4" s="61">
        <f>(SUM(B4:F4)/25)*100</f>
        <v>32</v>
      </c>
      <c r="H4" s="62"/>
    </row>
    <row r="5" spans="1:8" x14ac:dyDescent="0.25">
      <c r="A5" s="60" t="s">
        <v>95</v>
      </c>
      <c r="B5" s="60">
        <v>4</v>
      </c>
      <c r="C5" s="60">
        <v>4</v>
      </c>
      <c r="D5" s="60">
        <v>4</v>
      </c>
      <c r="E5" s="60">
        <v>4</v>
      </c>
      <c r="F5" s="60">
        <v>4</v>
      </c>
      <c r="G5" s="61">
        <f t="shared" ref="G5:G13" si="0">(SUM(B5:F5)/25)*100</f>
        <v>80</v>
      </c>
      <c r="H5" s="62"/>
    </row>
    <row r="6" spans="1:8" x14ac:dyDescent="0.25">
      <c r="A6" s="60" t="s">
        <v>96</v>
      </c>
      <c r="B6" s="60"/>
      <c r="C6" s="60"/>
      <c r="D6" s="60"/>
      <c r="E6" s="60"/>
      <c r="F6" s="60"/>
      <c r="G6" s="61">
        <f t="shared" si="0"/>
        <v>0</v>
      </c>
      <c r="H6" s="62" t="s">
        <v>928</v>
      </c>
    </row>
    <row r="7" spans="1:8" x14ac:dyDescent="0.25">
      <c r="A7" s="60" t="s">
        <v>97</v>
      </c>
      <c r="B7" s="60">
        <v>3</v>
      </c>
      <c r="C7" s="60">
        <v>3</v>
      </c>
      <c r="D7" s="60">
        <v>3</v>
      </c>
      <c r="E7" s="60">
        <v>2</v>
      </c>
      <c r="F7" s="60">
        <v>2</v>
      </c>
      <c r="G7" s="61">
        <f t="shared" si="0"/>
        <v>52</v>
      </c>
      <c r="H7" s="62"/>
    </row>
    <row r="8" spans="1:8" x14ac:dyDescent="0.25">
      <c r="A8" s="60" t="s">
        <v>98</v>
      </c>
      <c r="B8" s="65"/>
      <c r="C8" s="60"/>
      <c r="D8" s="60"/>
      <c r="E8" s="60"/>
      <c r="F8" s="60"/>
      <c r="G8" s="61">
        <f t="shared" si="0"/>
        <v>0</v>
      </c>
      <c r="H8" s="62" t="s">
        <v>929</v>
      </c>
    </row>
    <row r="9" spans="1:8" x14ac:dyDescent="0.25">
      <c r="A9" s="60" t="s">
        <v>99</v>
      </c>
      <c r="B9" s="60"/>
      <c r="C9" s="60"/>
      <c r="D9" s="60"/>
      <c r="E9" s="60"/>
      <c r="F9" s="60"/>
      <c r="G9" s="61">
        <f t="shared" si="0"/>
        <v>0</v>
      </c>
      <c r="H9" s="62"/>
    </row>
    <row r="10" spans="1:8" x14ac:dyDescent="0.25">
      <c r="A10" s="60" t="s">
        <v>100</v>
      </c>
      <c r="B10" s="60"/>
      <c r="C10" s="60"/>
      <c r="D10" s="60"/>
      <c r="E10" s="60"/>
      <c r="F10" s="60"/>
      <c r="G10" s="61">
        <f t="shared" si="0"/>
        <v>0</v>
      </c>
      <c r="H10" s="62"/>
    </row>
    <row r="11" spans="1:8" x14ac:dyDescent="0.25">
      <c r="A11" s="60" t="s">
        <v>927</v>
      </c>
      <c r="B11" s="60"/>
      <c r="C11" s="60"/>
      <c r="D11" s="60"/>
      <c r="E11" s="60"/>
      <c r="F11" s="60"/>
      <c r="G11" s="61">
        <f t="shared" si="0"/>
        <v>0</v>
      </c>
      <c r="H11" s="62"/>
    </row>
    <row r="12" spans="1:8" x14ac:dyDescent="0.25">
      <c r="A12" s="60" t="s">
        <v>101</v>
      </c>
      <c r="B12" s="60"/>
      <c r="C12" s="60"/>
      <c r="D12" s="60"/>
      <c r="E12" s="60"/>
      <c r="F12" s="60"/>
      <c r="G12" s="61">
        <f t="shared" si="0"/>
        <v>0</v>
      </c>
      <c r="H12" s="62"/>
    </row>
    <row r="13" spans="1:8" x14ac:dyDescent="0.25">
      <c r="A13" s="60" t="s">
        <v>102</v>
      </c>
      <c r="B13" s="60">
        <v>3</v>
      </c>
      <c r="C13" s="60">
        <v>3</v>
      </c>
      <c r="D13" s="60">
        <v>4</v>
      </c>
      <c r="E13" s="60">
        <v>2</v>
      </c>
      <c r="F13" s="60">
        <v>3</v>
      </c>
      <c r="G13" s="61">
        <f t="shared" si="0"/>
        <v>60</v>
      </c>
      <c r="H13" s="62"/>
    </row>
  </sheetData>
  <sortState xmlns:xlrd2="http://schemas.microsoft.com/office/spreadsheetml/2017/richdata2" ref="A4:A12">
    <sortCondition ref="A4:A12"/>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90608-B396-45C9-9755-E66FC11DDD67}">
  <dimension ref="A1:D17"/>
  <sheetViews>
    <sheetView workbookViewId="0">
      <selection activeCell="D15" sqref="D15"/>
    </sheetView>
  </sheetViews>
  <sheetFormatPr defaultRowHeight="15" x14ac:dyDescent="0.25"/>
  <sheetData>
    <row r="1" spans="1:4" x14ac:dyDescent="0.25">
      <c r="A1" s="53"/>
    </row>
    <row r="2" spans="1:4" x14ac:dyDescent="0.25">
      <c r="A2" s="54"/>
    </row>
    <row r="3" spans="1:4" x14ac:dyDescent="0.25">
      <c r="A3" s="54"/>
    </row>
    <row r="4" spans="1:4" x14ac:dyDescent="0.25">
      <c r="A4" s="53" t="s">
        <v>736</v>
      </c>
    </row>
    <row r="5" spans="1:4" x14ac:dyDescent="0.25">
      <c r="A5" s="53" t="s">
        <v>737</v>
      </c>
    </row>
    <row r="6" spans="1:4" x14ac:dyDescent="0.25">
      <c r="A6" s="53" t="s">
        <v>738</v>
      </c>
    </row>
    <row r="7" spans="1:4" x14ac:dyDescent="0.25">
      <c r="A7" s="53" t="s">
        <v>739</v>
      </c>
    </row>
    <row r="8" spans="1:4" x14ac:dyDescent="0.25">
      <c r="A8" s="54"/>
    </row>
    <row r="9" spans="1:4" x14ac:dyDescent="0.25">
      <c r="A9" s="53"/>
    </row>
    <row r="10" spans="1:4" x14ac:dyDescent="0.25">
      <c r="A10" s="54"/>
    </row>
    <row r="11" spans="1:4" x14ac:dyDescent="0.25">
      <c r="A11" s="53"/>
    </row>
    <row r="12" spans="1:4" x14ac:dyDescent="0.25">
      <c r="A12" s="54"/>
    </row>
    <row r="13" spans="1:4" x14ac:dyDescent="0.25">
      <c r="A13" s="53"/>
    </row>
    <row r="14" spans="1:4" x14ac:dyDescent="0.25">
      <c r="A14" s="54"/>
    </row>
    <row r="15" spans="1:4" x14ac:dyDescent="0.25">
      <c r="A15" s="53"/>
      <c r="D15" s="55" t="s">
        <v>740</v>
      </c>
    </row>
    <row r="16" spans="1:4" x14ac:dyDescent="0.25">
      <c r="A16" s="54"/>
    </row>
    <row r="17" spans="1:1" x14ac:dyDescent="0.25">
      <c r="A17" s="53"/>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E443E-A784-46FE-8849-1FF7656C16F4}">
  <dimension ref="B5:L119"/>
  <sheetViews>
    <sheetView topLeftCell="A27" workbookViewId="0">
      <selection activeCell="B111" sqref="B111"/>
    </sheetView>
  </sheetViews>
  <sheetFormatPr defaultRowHeight="15" x14ac:dyDescent="0.25"/>
  <cols>
    <col min="2" max="2" width="28.28515625" customWidth="1"/>
    <col min="3" max="3" width="26.5703125" customWidth="1"/>
    <col min="8" max="8" width="27.85546875" customWidth="1"/>
  </cols>
  <sheetData>
    <row r="5" spans="2:12" x14ac:dyDescent="0.25">
      <c r="D5" t="s">
        <v>24</v>
      </c>
      <c r="J5" t="s">
        <v>30</v>
      </c>
    </row>
    <row r="6" spans="2:12" x14ac:dyDescent="0.25">
      <c r="J6" t="s">
        <v>49</v>
      </c>
      <c r="K6" t="s">
        <v>48</v>
      </c>
      <c r="L6" t="s">
        <v>50</v>
      </c>
    </row>
    <row r="7" spans="2:12" x14ac:dyDescent="0.25">
      <c r="B7" s="2" t="s">
        <v>28</v>
      </c>
      <c r="J7" t="s">
        <v>32</v>
      </c>
      <c r="K7" t="s">
        <v>31</v>
      </c>
      <c r="L7" t="s">
        <v>33</v>
      </c>
    </row>
    <row r="8" spans="2:12" x14ac:dyDescent="0.25">
      <c r="B8" t="s">
        <v>53</v>
      </c>
      <c r="C8" t="s">
        <v>27</v>
      </c>
      <c r="E8" t="s">
        <v>56</v>
      </c>
    </row>
    <row r="9" spans="2:12" x14ac:dyDescent="0.25">
      <c r="B9" t="s">
        <v>52</v>
      </c>
      <c r="C9" t="s">
        <v>25</v>
      </c>
      <c r="H9" s="3" t="s">
        <v>34</v>
      </c>
      <c r="I9" s="3" t="s">
        <v>35</v>
      </c>
      <c r="J9" s="2" t="s">
        <v>38</v>
      </c>
      <c r="K9" t="s">
        <v>46</v>
      </c>
      <c r="L9" t="s">
        <v>47</v>
      </c>
    </row>
    <row r="10" spans="2:12" x14ac:dyDescent="0.25">
      <c r="C10" t="s">
        <v>26</v>
      </c>
      <c r="H10" t="str">
        <f>REPT("A",1)</f>
        <v>A</v>
      </c>
      <c r="I10" t="s">
        <v>36</v>
      </c>
      <c r="J10" t="s">
        <v>36</v>
      </c>
      <c r="K10" t="s">
        <v>39</v>
      </c>
      <c r="L10" t="s">
        <v>39</v>
      </c>
    </row>
    <row r="11" spans="2:12" x14ac:dyDescent="0.25">
      <c r="H11" s="6" t="str">
        <f>REPT("C",5)</f>
        <v>CCCCC</v>
      </c>
      <c r="I11" t="s">
        <v>37</v>
      </c>
      <c r="J11" t="s">
        <v>37</v>
      </c>
      <c r="K11" t="s">
        <v>39</v>
      </c>
      <c r="L11" t="s">
        <v>39</v>
      </c>
    </row>
    <row r="12" spans="2:12" x14ac:dyDescent="0.25">
      <c r="D12" t="s">
        <v>29</v>
      </c>
      <c r="H12" s="6" t="str">
        <f>REPT("N",15)</f>
        <v>NNNNNNNNNNNNNNN</v>
      </c>
      <c r="I12" t="s">
        <v>36</v>
      </c>
      <c r="J12" t="s">
        <v>36</v>
      </c>
      <c r="K12" t="s">
        <v>39</v>
      </c>
      <c r="L12" t="s">
        <v>39</v>
      </c>
    </row>
    <row r="13" spans="2:12" x14ac:dyDescent="0.25">
      <c r="H13" t="str">
        <f>REPT("X",3)</f>
        <v>XXX</v>
      </c>
      <c r="I13" t="s">
        <v>37</v>
      </c>
      <c r="J13" t="s">
        <v>36</v>
      </c>
      <c r="K13" s="4" t="s">
        <v>40</v>
      </c>
      <c r="L13" t="s">
        <v>39</v>
      </c>
    </row>
    <row r="14" spans="2:12" x14ac:dyDescent="0.25">
      <c r="H14" t="str">
        <f>REPT("I",10)</f>
        <v>IIIIIIIIII</v>
      </c>
      <c r="I14" t="s">
        <v>37</v>
      </c>
      <c r="J14" t="s">
        <v>36</v>
      </c>
      <c r="K14" s="4" t="s">
        <v>40</v>
      </c>
      <c r="L14" t="s">
        <v>39</v>
      </c>
    </row>
    <row r="15" spans="2:12" x14ac:dyDescent="0.25">
      <c r="H15" t="s">
        <v>41</v>
      </c>
      <c r="I15" t="s">
        <v>36</v>
      </c>
      <c r="J15" t="s">
        <v>36</v>
      </c>
      <c r="K15" t="s">
        <v>39</v>
      </c>
      <c r="L15" t="s">
        <v>39</v>
      </c>
    </row>
    <row r="16" spans="2:12" x14ac:dyDescent="0.25">
      <c r="B16" s="5" t="s">
        <v>45</v>
      </c>
      <c r="H16" t="s">
        <v>42</v>
      </c>
      <c r="I16" t="s">
        <v>36</v>
      </c>
      <c r="J16" t="s">
        <v>36</v>
      </c>
      <c r="K16" t="s">
        <v>39</v>
      </c>
      <c r="L16" t="s">
        <v>39</v>
      </c>
    </row>
    <row r="17" spans="2:12" x14ac:dyDescent="0.25">
      <c r="H17" s="6" t="s">
        <v>43</v>
      </c>
      <c r="I17" t="s">
        <v>37</v>
      </c>
      <c r="J17" t="s">
        <v>37</v>
      </c>
      <c r="K17" t="s">
        <v>39</v>
      </c>
      <c r="L17" t="s">
        <v>39</v>
      </c>
    </row>
    <row r="18" spans="2:12" x14ac:dyDescent="0.25">
      <c r="B18" t="s">
        <v>54</v>
      </c>
      <c r="H18" s="6" t="s">
        <v>44</v>
      </c>
      <c r="I18" t="s">
        <v>37</v>
      </c>
      <c r="J18" t="s">
        <v>37</v>
      </c>
      <c r="K18" t="s">
        <v>39</v>
      </c>
      <c r="L18" t="s">
        <v>39</v>
      </c>
    </row>
    <row r="19" spans="2:12" x14ac:dyDescent="0.25">
      <c r="B19" t="s">
        <v>55</v>
      </c>
    </row>
    <row r="21" spans="2:12" x14ac:dyDescent="0.25">
      <c r="H21" t="s">
        <v>93</v>
      </c>
    </row>
    <row r="22" spans="2:12" x14ac:dyDescent="0.25">
      <c r="H22" s="2" t="s">
        <v>51</v>
      </c>
    </row>
    <row r="25" spans="2:12" x14ac:dyDescent="0.25">
      <c r="C25" t="s">
        <v>57</v>
      </c>
      <c r="H25" t="s">
        <v>68</v>
      </c>
    </row>
    <row r="27" spans="2:12" x14ac:dyDescent="0.25">
      <c r="C27" t="s">
        <v>58</v>
      </c>
      <c r="D27" t="s">
        <v>59</v>
      </c>
      <c r="H27" t="s">
        <v>81</v>
      </c>
    </row>
    <row r="28" spans="2:12" x14ac:dyDescent="0.25">
      <c r="C28" t="s">
        <v>60</v>
      </c>
      <c r="D28" t="s">
        <v>61</v>
      </c>
      <c r="H28" t="s">
        <v>70</v>
      </c>
      <c r="I28" t="s">
        <v>71</v>
      </c>
    </row>
    <row r="29" spans="2:12" x14ac:dyDescent="0.25">
      <c r="C29" t="s">
        <v>62</v>
      </c>
      <c r="D29" t="s">
        <v>63</v>
      </c>
      <c r="G29" t="s">
        <v>78</v>
      </c>
      <c r="H29" t="s">
        <v>72</v>
      </c>
      <c r="I29" t="s">
        <v>73</v>
      </c>
    </row>
    <row r="30" spans="2:12" x14ac:dyDescent="0.25">
      <c r="G30" t="s">
        <v>80</v>
      </c>
      <c r="H30" t="s">
        <v>74</v>
      </c>
      <c r="I30" t="s">
        <v>75</v>
      </c>
    </row>
    <row r="31" spans="2:12" x14ac:dyDescent="0.25">
      <c r="G31" t="s">
        <v>79</v>
      </c>
      <c r="H31" t="s">
        <v>76</v>
      </c>
      <c r="I31" t="s">
        <v>77</v>
      </c>
    </row>
    <row r="32" spans="2:12" x14ac:dyDescent="0.25">
      <c r="C32" t="s">
        <v>64</v>
      </c>
      <c r="D32" t="s">
        <v>65</v>
      </c>
      <c r="H32" t="s">
        <v>82</v>
      </c>
    </row>
    <row r="33" spans="3:8" x14ac:dyDescent="0.25">
      <c r="H33" t="s">
        <v>83</v>
      </c>
    </row>
    <row r="34" spans="3:8" x14ac:dyDescent="0.25">
      <c r="C34" t="s">
        <v>66</v>
      </c>
      <c r="H34" t="s">
        <v>84</v>
      </c>
    </row>
    <row r="35" spans="3:8" x14ac:dyDescent="0.25">
      <c r="C35" t="s">
        <v>67</v>
      </c>
    </row>
    <row r="37" spans="3:8" x14ac:dyDescent="0.25">
      <c r="G37" t="s">
        <v>87</v>
      </c>
    </row>
    <row r="38" spans="3:8" x14ac:dyDescent="0.25">
      <c r="G38" t="s">
        <v>85</v>
      </c>
    </row>
    <row r="39" spans="3:8" x14ac:dyDescent="0.25">
      <c r="G39" t="s">
        <v>86</v>
      </c>
    </row>
    <row r="40" spans="3:8" x14ac:dyDescent="0.25">
      <c r="G40" t="s">
        <v>88</v>
      </c>
    </row>
    <row r="99" spans="2:2" x14ac:dyDescent="0.25">
      <c r="B99" t="s">
        <v>92</v>
      </c>
    </row>
    <row r="100" spans="2:2" x14ac:dyDescent="0.25">
      <c r="B100" t="s">
        <v>89</v>
      </c>
    </row>
    <row r="104" spans="2:2" x14ac:dyDescent="0.25">
      <c r="B104" t="s">
        <v>90</v>
      </c>
    </row>
    <row r="106" spans="2:2" x14ac:dyDescent="0.25">
      <c r="B106" t="s">
        <v>91</v>
      </c>
    </row>
    <row r="110" spans="2:2" ht="16.5" x14ac:dyDescent="0.25">
      <c r="B110" s="7" t="s">
        <v>103</v>
      </c>
    </row>
    <row r="111" spans="2:2" ht="16.5" x14ac:dyDescent="0.25">
      <c r="B111" s="7" t="s">
        <v>94</v>
      </c>
    </row>
    <row r="112" spans="2:2" ht="16.5" x14ac:dyDescent="0.25">
      <c r="B112" s="7" t="s">
        <v>95</v>
      </c>
    </row>
    <row r="113" spans="2:2" ht="16.5" x14ac:dyDescent="0.25">
      <c r="B113" s="7" t="s">
        <v>96</v>
      </c>
    </row>
    <row r="114" spans="2:2" ht="16.5" x14ac:dyDescent="0.25">
      <c r="B114" s="7" t="s">
        <v>97</v>
      </c>
    </row>
    <row r="115" spans="2:2" ht="16.5" x14ac:dyDescent="0.25">
      <c r="B115" s="7" t="s">
        <v>98</v>
      </c>
    </row>
    <row r="116" spans="2:2" ht="16.5" x14ac:dyDescent="0.25">
      <c r="B116" s="7" t="s">
        <v>99</v>
      </c>
    </row>
    <row r="117" spans="2:2" ht="16.5" x14ac:dyDescent="0.25">
      <c r="B117" s="7" t="s">
        <v>100</v>
      </c>
    </row>
    <row r="118" spans="2:2" ht="16.5" x14ac:dyDescent="0.25">
      <c r="B118" s="7" t="s">
        <v>101</v>
      </c>
    </row>
    <row r="119" spans="2:2" ht="16.5" x14ac:dyDescent="0.25">
      <c r="B119" s="7" t="s">
        <v>102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DA920-215A-459D-AE62-6D5998601A03}">
  <dimension ref="A1:C484"/>
  <sheetViews>
    <sheetView topLeftCell="A102" workbookViewId="0">
      <selection activeCell="A102" sqref="A102"/>
    </sheetView>
  </sheetViews>
  <sheetFormatPr defaultRowHeight="15" x14ac:dyDescent="0.25"/>
  <cols>
    <col min="1" max="1" width="108.5703125" style="9" customWidth="1"/>
    <col min="2" max="2" width="9.85546875" style="9" bestFit="1" customWidth="1"/>
    <col min="3" max="16384" width="9.140625" style="9"/>
  </cols>
  <sheetData>
    <row r="1" spans="1:1" x14ac:dyDescent="0.25">
      <c r="A1" s="8"/>
    </row>
    <row r="2" spans="1:1" ht="23.25" x14ac:dyDescent="0.25">
      <c r="A2" s="10" t="s">
        <v>104</v>
      </c>
    </row>
    <row r="3" spans="1:1" ht="15.75" x14ac:dyDescent="0.25">
      <c r="A3" s="11" t="s">
        <v>105</v>
      </c>
    </row>
    <row r="4" spans="1:1" ht="15.75" x14ac:dyDescent="0.25">
      <c r="A4" s="11" t="s">
        <v>106</v>
      </c>
    </row>
    <row r="5" spans="1:1" x14ac:dyDescent="0.25">
      <c r="A5" s="8"/>
    </row>
    <row r="6" spans="1:1" ht="21" x14ac:dyDescent="0.25">
      <c r="A6" s="12" t="s">
        <v>107</v>
      </c>
    </row>
    <row r="7" spans="1:1" ht="15.75" x14ac:dyDescent="0.25">
      <c r="A7" s="13" t="s">
        <v>108</v>
      </c>
    </row>
    <row r="8" spans="1:1" ht="15.75" x14ac:dyDescent="0.25">
      <c r="A8" s="13"/>
    </row>
    <row r="9" spans="1:1" ht="21" x14ac:dyDescent="0.25">
      <c r="A9" s="14" t="s">
        <v>109</v>
      </c>
    </row>
    <row r="10" spans="1:1" ht="15.75" x14ac:dyDescent="0.25">
      <c r="A10" s="15" t="s">
        <v>110</v>
      </c>
    </row>
    <row r="11" spans="1:1" ht="15.75" x14ac:dyDescent="0.25">
      <c r="A11" s="15" t="s">
        <v>111</v>
      </c>
    </row>
    <row r="12" spans="1:1" ht="15.75" x14ac:dyDescent="0.25">
      <c r="A12" s="15" t="s">
        <v>112</v>
      </c>
    </row>
    <row r="13" spans="1:1" ht="15.75" x14ac:dyDescent="0.25">
      <c r="A13" s="15" t="s">
        <v>113</v>
      </c>
    </row>
    <row r="14" spans="1:1" ht="15.75" x14ac:dyDescent="0.25">
      <c r="A14" s="15" t="s">
        <v>114</v>
      </c>
    </row>
    <row r="15" spans="1:1" ht="15.75" x14ac:dyDescent="0.25">
      <c r="A15" s="15" t="s">
        <v>115</v>
      </c>
    </row>
    <row r="16" spans="1:1" ht="15.75" x14ac:dyDescent="0.25">
      <c r="A16" s="15" t="s">
        <v>116</v>
      </c>
    </row>
    <row r="17" spans="1:3" ht="15.75" x14ac:dyDescent="0.25">
      <c r="A17" s="15" t="s">
        <v>117</v>
      </c>
    </row>
    <row r="18" spans="1:3" ht="15.75" x14ac:dyDescent="0.25">
      <c r="A18" s="15" t="s">
        <v>118</v>
      </c>
    </row>
    <row r="19" spans="1:3" ht="15.75" x14ac:dyDescent="0.25">
      <c r="A19" s="15" t="s">
        <v>119</v>
      </c>
    </row>
    <row r="20" spans="1:3" ht="15.75" x14ac:dyDescent="0.25">
      <c r="A20" s="15" t="s">
        <v>120</v>
      </c>
    </row>
    <row r="21" spans="1:3" ht="15.75" x14ac:dyDescent="0.25">
      <c r="A21" s="15" t="s">
        <v>121</v>
      </c>
    </row>
    <row r="22" spans="1:3" ht="16.5" thickBot="1" x14ac:dyDescent="0.3">
      <c r="A22" s="11"/>
    </row>
    <row r="23" spans="1:3" ht="63.75" thickBot="1" x14ac:dyDescent="0.3">
      <c r="A23" s="16" t="s">
        <v>122</v>
      </c>
      <c r="B23" s="17" t="s">
        <v>123</v>
      </c>
    </row>
    <row r="24" spans="1:3" ht="63.75" thickBot="1" x14ac:dyDescent="0.3">
      <c r="A24" s="18" t="s">
        <v>124</v>
      </c>
      <c r="B24" s="19" t="s">
        <v>125</v>
      </c>
    </row>
    <row r="25" spans="1:3" ht="63.75" thickBot="1" x14ac:dyDescent="0.3">
      <c r="A25" s="18" t="s">
        <v>126</v>
      </c>
      <c r="B25" s="20" t="s">
        <v>127</v>
      </c>
    </row>
    <row r="26" spans="1:3" ht="111" thickBot="1" x14ac:dyDescent="0.3">
      <c r="A26" s="18" t="s">
        <v>128</v>
      </c>
      <c r="B26" s="20" t="s">
        <v>129</v>
      </c>
    </row>
    <row r="27" spans="1:3" ht="79.5" thickBot="1" x14ac:dyDescent="0.3">
      <c r="A27" s="18" t="s">
        <v>130</v>
      </c>
      <c r="B27" s="20" t="s">
        <v>131</v>
      </c>
    </row>
    <row r="28" spans="1:3" ht="15.75" x14ac:dyDescent="0.25">
      <c r="A28" s="11"/>
    </row>
    <row r="29" spans="1:3" ht="15.75" x14ac:dyDescent="0.25">
      <c r="A29" s="11"/>
    </row>
    <row r="30" spans="1:3" ht="15.75" x14ac:dyDescent="0.25">
      <c r="A30" s="11"/>
    </row>
    <row r="31" spans="1:3" ht="15.75" x14ac:dyDescent="0.25">
      <c r="A31" s="11"/>
    </row>
    <row r="32" spans="1:3" s="42" customFormat="1" x14ac:dyDescent="0.25">
      <c r="A32" s="40" t="s">
        <v>132</v>
      </c>
      <c r="B32" s="41" t="s">
        <v>508</v>
      </c>
      <c r="C32" s="41" t="s">
        <v>509</v>
      </c>
    </row>
    <row r="33" spans="1:3" s="22" customFormat="1" x14ac:dyDescent="0.25">
      <c r="A33" s="21" t="s">
        <v>133</v>
      </c>
      <c r="B33" s="23">
        <v>46254</v>
      </c>
      <c r="C33" s="24" t="s">
        <v>510</v>
      </c>
    </row>
    <row r="34" spans="1:3" s="22" customFormat="1" x14ac:dyDescent="0.25">
      <c r="A34" s="25" t="s">
        <v>511</v>
      </c>
      <c r="B34" s="24"/>
      <c r="C34" s="24"/>
    </row>
    <row r="35" spans="1:3" s="22" customFormat="1" x14ac:dyDescent="0.25">
      <c r="A35" s="21" t="s">
        <v>134</v>
      </c>
      <c r="B35" s="24"/>
      <c r="C35" s="24"/>
    </row>
    <row r="36" spans="1:3" s="22" customFormat="1" x14ac:dyDescent="0.25">
      <c r="A36" s="26" t="s">
        <v>512</v>
      </c>
      <c r="B36" s="24"/>
      <c r="C36" s="24"/>
    </row>
    <row r="37" spans="1:3" s="22" customFormat="1" x14ac:dyDescent="0.25">
      <c r="A37" s="26" t="s">
        <v>513</v>
      </c>
      <c r="B37" s="24"/>
      <c r="C37" s="24"/>
    </row>
    <row r="38" spans="1:3" s="22" customFormat="1" x14ac:dyDescent="0.25">
      <c r="A38" s="26" t="s">
        <v>514</v>
      </c>
      <c r="B38" s="24"/>
      <c r="C38" s="24"/>
    </row>
    <row r="39" spans="1:3" s="22" customFormat="1" x14ac:dyDescent="0.25">
      <c r="A39" s="27" t="s">
        <v>135</v>
      </c>
      <c r="B39" s="24"/>
      <c r="C39" s="24"/>
    </row>
    <row r="40" spans="1:3" s="22" customFormat="1" x14ac:dyDescent="0.25">
      <c r="A40" s="26" t="s">
        <v>515</v>
      </c>
      <c r="B40" s="24"/>
      <c r="C40" s="24"/>
    </row>
    <row r="41" spans="1:3" s="22" customFormat="1" x14ac:dyDescent="0.25">
      <c r="A41" s="26" t="s">
        <v>516</v>
      </c>
      <c r="B41" s="24"/>
      <c r="C41" s="24"/>
    </row>
    <row r="42" spans="1:3" s="22" customFormat="1" x14ac:dyDescent="0.25">
      <c r="A42" s="26" t="s">
        <v>517</v>
      </c>
      <c r="B42" s="24"/>
      <c r="C42" s="24"/>
    </row>
    <row r="43" spans="1:3" s="22" customFormat="1" x14ac:dyDescent="0.25">
      <c r="A43" s="26" t="s">
        <v>518</v>
      </c>
      <c r="B43" s="24"/>
      <c r="C43" s="24"/>
    </row>
    <row r="44" spans="1:3" s="22" customFormat="1" x14ac:dyDescent="0.25">
      <c r="A44" s="26" t="s">
        <v>519</v>
      </c>
      <c r="B44" s="24"/>
      <c r="C44" s="24"/>
    </row>
    <row r="45" spans="1:3" s="22" customFormat="1" x14ac:dyDescent="0.25">
      <c r="A45" s="26" t="s">
        <v>520</v>
      </c>
      <c r="B45" s="24"/>
      <c r="C45" s="24"/>
    </row>
    <row r="46" spans="1:3" s="22" customFormat="1" x14ac:dyDescent="0.25">
      <c r="A46" s="26" t="s">
        <v>521</v>
      </c>
      <c r="B46" s="24"/>
      <c r="C46" s="24"/>
    </row>
    <row r="47" spans="1:3" s="22" customFormat="1" x14ac:dyDescent="0.25">
      <c r="A47" s="26" t="s">
        <v>522</v>
      </c>
      <c r="B47" s="24"/>
      <c r="C47" s="24"/>
    </row>
    <row r="48" spans="1:3" s="22" customFormat="1" x14ac:dyDescent="0.25">
      <c r="A48" s="26" t="s">
        <v>523</v>
      </c>
      <c r="B48" s="24"/>
      <c r="C48" s="24"/>
    </row>
    <row r="49" spans="1:3" s="22" customFormat="1" x14ac:dyDescent="0.25">
      <c r="A49" s="26" t="s">
        <v>524</v>
      </c>
      <c r="B49" s="24"/>
      <c r="C49" s="24"/>
    </row>
    <row r="50" spans="1:3" s="22" customFormat="1" x14ac:dyDescent="0.25">
      <c r="A50" s="26" t="s">
        <v>525</v>
      </c>
      <c r="B50" s="24"/>
      <c r="C50" s="24"/>
    </row>
    <row r="51" spans="1:3" s="22" customFormat="1" x14ac:dyDescent="0.25">
      <c r="A51" s="26" t="s">
        <v>526</v>
      </c>
      <c r="B51" s="24"/>
      <c r="C51" s="24"/>
    </row>
    <row r="52" spans="1:3" s="22" customFormat="1" x14ac:dyDescent="0.25">
      <c r="A52" s="26" t="s">
        <v>527</v>
      </c>
      <c r="B52" s="24"/>
      <c r="C52" s="24"/>
    </row>
    <row r="53" spans="1:3" s="22" customFormat="1" x14ac:dyDescent="0.25">
      <c r="A53" s="26" t="s">
        <v>528</v>
      </c>
      <c r="B53" s="24"/>
      <c r="C53" s="24"/>
    </row>
    <row r="54" spans="1:3" s="22" customFormat="1" x14ac:dyDescent="0.25">
      <c r="A54" s="26" t="s">
        <v>529</v>
      </c>
      <c r="B54" s="24"/>
      <c r="C54" s="24"/>
    </row>
    <row r="55" spans="1:3" s="22" customFormat="1" x14ac:dyDescent="0.25">
      <c r="A55" s="26" t="s">
        <v>530</v>
      </c>
      <c r="B55" s="24"/>
      <c r="C55" s="24"/>
    </row>
    <row r="56" spans="1:3" s="22" customFormat="1" x14ac:dyDescent="0.25">
      <c r="A56" s="26" t="s">
        <v>531</v>
      </c>
      <c r="B56" s="24"/>
      <c r="C56" s="24"/>
    </row>
    <row r="57" spans="1:3" s="22" customFormat="1" x14ac:dyDescent="0.25">
      <c r="A57" s="26" t="s">
        <v>532</v>
      </c>
      <c r="B57" s="24"/>
      <c r="C57" s="24"/>
    </row>
    <row r="58" spans="1:3" s="22" customFormat="1" x14ac:dyDescent="0.25">
      <c r="A58" s="26" t="s">
        <v>533</v>
      </c>
      <c r="B58" s="24"/>
      <c r="C58" s="24"/>
    </row>
    <row r="59" spans="1:3" s="22" customFormat="1" x14ac:dyDescent="0.25">
      <c r="A59" s="26" t="s">
        <v>534</v>
      </c>
      <c r="B59" s="24"/>
      <c r="C59" s="24"/>
    </row>
    <row r="60" spans="1:3" s="22" customFormat="1" x14ac:dyDescent="0.25">
      <c r="A60" s="28"/>
    </row>
    <row r="61" spans="1:3" s="22" customFormat="1" x14ac:dyDescent="0.25">
      <c r="A61" s="28"/>
    </row>
    <row r="62" spans="1:3" s="22" customFormat="1" ht="18.75" x14ac:dyDescent="0.25">
      <c r="A62" s="29" t="s">
        <v>136</v>
      </c>
      <c r="B62" s="30">
        <v>46255</v>
      </c>
      <c r="C62" s="22" t="s">
        <v>535</v>
      </c>
    </row>
    <row r="63" spans="1:3" s="22" customFormat="1" ht="15.75" x14ac:dyDescent="0.25">
      <c r="A63" s="31" t="s">
        <v>137</v>
      </c>
    </row>
    <row r="64" spans="1:3" s="22" customFormat="1" ht="15.75" x14ac:dyDescent="0.25">
      <c r="A64" s="32" t="s">
        <v>134</v>
      </c>
    </row>
    <row r="65" spans="1:1" s="22" customFormat="1" ht="15.75" x14ac:dyDescent="0.25">
      <c r="A65" s="33" t="s">
        <v>138</v>
      </c>
    </row>
    <row r="66" spans="1:1" s="22" customFormat="1" ht="15.75" x14ac:dyDescent="0.25">
      <c r="A66" s="33" t="s">
        <v>139</v>
      </c>
    </row>
    <row r="67" spans="1:1" s="22" customFormat="1" ht="15.75" x14ac:dyDescent="0.25">
      <c r="A67" s="33" t="s">
        <v>140</v>
      </c>
    </row>
    <row r="68" spans="1:1" s="22" customFormat="1" ht="15.75" x14ac:dyDescent="0.25">
      <c r="A68" s="33" t="s">
        <v>141</v>
      </c>
    </row>
    <row r="69" spans="1:1" s="22" customFormat="1" ht="15.75" x14ac:dyDescent="0.25">
      <c r="A69" s="33" t="s">
        <v>142</v>
      </c>
    </row>
    <row r="70" spans="1:1" s="22" customFormat="1" ht="15.75" x14ac:dyDescent="0.25">
      <c r="A70" s="33" t="s">
        <v>143</v>
      </c>
    </row>
    <row r="71" spans="1:1" s="22" customFormat="1" ht="15.75" x14ac:dyDescent="0.25">
      <c r="A71" s="33" t="s">
        <v>144</v>
      </c>
    </row>
    <row r="72" spans="1:1" s="22" customFormat="1" ht="15.75" x14ac:dyDescent="0.25">
      <c r="A72" s="33" t="s">
        <v>145</v>
      </c>
    </row>
    <row r="73" spans="1:1" s="22" customFormat="1" ht="15.75" x14ac:dyDescent="0.25">
      <c r="A73" s="33" t="s">
        <v>146</v>
      </c>
    </row>
    <row r="74" spans="1:1" s="22" customFormat="1" ht="15.75" x14ac:dyDescent="0.25">
      <c r="A74" s="33" t="s">
        <v>147</v>
      </c>
    </row>
    <row r="75" spans="1:1" s="22" customFormat="1" ht="15.75" x14ac:dyDescent="0.25">
      <c r="A75" s="33" t="s">
        <v>148</v>
      </c>
    </row>
    <row r="76" spans="1:1" s="22" customFormat="1" ht="15.75" x14ac:dyDescent="0.25">
      <c r="A76" s="33" t="s">
        <v>149</v>
      </c>
    </row>
    <row r="77" spans="1:1" s="22" customFormat="1" ht="15.75" x14ac:dyDescent="0.25">
      <c r="A77" s="34" t="s">
        <v>150</v>
      </c>
    </row>
    <row r="78" spans="1:1" s="22" customFormat="1" ht="15.75" x14ac:dyDescent="0.25">
      <c r="A78" s="34" t="s">
        <v>151</v>
      </c>
    </row>
    <row r="79" spans="1:1" s="22" customFormat="1" ht="15.75" x14ac:dyDescent="0.25">
      <c r="A79" s="34" t="s">
        <v>152</v>
      </c>
    </row>
    <row r="80" spans="1:1" s="22" customFormat="1" ht="15.75" x14ac:dyDescent="0.25">
      <c r="A80" s="34" t="s">
        <v>153</v>
      </c>
    </row>
    <row r="81" spans="1:1" s="22" customFormat="1" ht="15.75" x14ac:dyDescent="0.25">
      <c r="A81" s="34" t="s">
        <v>154</v>
      </c>
    </row>
    <row r="82" spans="1:1" s="22" customFormat="1" ht="15.75" x14ac:dyDescent="0.25">
      <c r="A82" s="33" t="s">
        <v>155</v>
      </c>
    </row>
    <row r="83" spans="1:1" s="22" customFormat="1" ht="15.75" x14ac:dyDescent="0.25">
      <c r="A83" s="33" t="s">
        <v>156</v>
      </c>
    </row>
    <row r="84" spans="1:1" s="22" customFormat="1" ht="15.75" x14ac:dyDescent="0.25">
      <c r="A84" s="33" t="s">
        <v>157</v>
      </c>
    </row>
    <row r="85" spans="1:1" s="22" customFormat="1" ht="15.75" x14ac:dyDescent="0.25">
      <c r="A85" s="33" t="s">
        <v>158</v>
      </c>
    </row>
    <row r="86" spans="1:1" s="22" customFormat="1" ht="15.75" x14ac:dyDescent="0.25">
      <c r="A86" s="33" t="s">
        <v>159</v>
      </c>
    </row>
    <row r="87" spans="1:1" s="22" customFormat="1" ht="15.75" x14ac:dyDescent="0.25">
      <c r="A87" s="33" t="s">
        <v>160</v>
      </c>
    </row>
    <row r="88" spans="1:1" s="22" customFormat="1" ht="15.75" x14ac:dyDescent="0.25">
      <c r="A88" s="33" t="s">
        <v>161</v>
      </c>
    </row>
    <row r="89" spans="1:1" s="22" customFormat="1" ht="15.75" x14ac:dyDescent="0.25">
      <c r="A89" s="31"/>
    </row>
    <row r="90" spans="1:1" s="22" customFormat="1" ht="15.75" x14ac:dyDescent="0.25">
      <c r="A90" s="32" t="s">
        <v>162</v>
      </c>
    </row>
    <row r="91" spans="1:1" s="22" customFormat="1" ht="15.75" x14ac:dyDescent="0.25">
      <c r="A91" s="33" t="s">
        <v>163</v>
      </c>
    </row>
    <row r="92" spans="1:1" s="22" customFormat="1" ht="15.75" x14ac:dyDescent="0.25">
      <c r="A92" s="33" t="s">
        <v>164</v>
      </c>
    </row>
    <row r="93" spans="1:1" s="22" customFormat="1" ht="15.75" x14ac:dyDescent="0.25">
      <c r="A93" s="33" t="s">
        <v>165</v>
      </c>
    </row>
    <row r="94" spans="1:1" s="22" customFormat="1" ht="15.75" x14ac:dyDescent="0.25">
      <c r="A94" s="33" t="s">
        <v>166</v>
      </c>
    </row>
    <row r="95" spans="1:1" s="22" customFormat="1" ht="15.75" x14ac:dyDescent="0.25">
      <c r="A95" s="33" t="s">
        <v>167</v>
      </c>
    </row>
    <row r="96" spans="1:1" s="22" customFormat="1" ht="15.75" x14ac:dyDescent="0.25">
      <c r="A96" s="33" t="s">
        <v>168</v>
      </c>
    </row>
    <row r="97" spans="1:3" s="22" customFormat="1" ht="15.75" x14ac:dyDescent="0.25">
      <c r="A97" s="31"/>
    </row>
    <row r="98" spans="1:3" s="22" customFormat="1" ht="18.75" x14ac:dyDescent="0.25">
      <c r="A98" s="29" t="s">
        <v>169</v>
      </c>
      <c r="B98" s="30">
        <v>46258</v>
      </c>
      <c r="C98" s="22" t="s">
        <v>536</v>
      </c>
    </row>
    <row r="99" spans="1:3" s="22" customFormat="1" ht="15.75" x14ac:dyDescent="0.25">
      <c r="A99" s="31"/>
    </row>
    <row r="100" spans="1:3" s="22" customFormat="1" ht="15.75" x14ac:dyDescent="0.25">
      <c r="A100" s="32" t="s">
        <v>170</v>
      </c>
    </row>
    <row r="101" spans="1:3" s="22" customFormat="1" ht="15.75" x14ac:dyDescent="0.25">
      <c r="A101" s="35" t="s">
        <v>171</v>
      </c>
    </row>
    <row r="102" spans="1:3" s="22" customFormat="1" ht="15.75" x14ac:dyDescent="0.25">
      <c r="A102" s="32" t="s">
        <v>134</v>
      </c>
    </row>
    <row r="103" spans="1:3" s="22" customFormat="1" ht="15.75" x14ac:dyDescent="0.25">
      <c r="A103" s="33" t="s">
        <v>172</v>
      </c>
    </row>
    <row r="104" spans="1:3" s="22" customFormat="1" ht="15.75" x14ac:dyDescent="0.25">
      <c r="A104" s="33" t="s">
        <v>173</v>
      </c>
    </row>
    <row r="105" spans="1:3" s="22" customFormat="1" ht="15.75" x14ac:dyDescent="0.25">
      <c r="A105" s="33" t="s">
        <v>174</v>
      </c>
    </row>
    <row r="106" spans="1:3" s="22" customFormat="1" ht="15.75" x14ac:dyDescent="0.25">
      <c r="A106" s="33" t="s">
        <v>175</v>
      </c>
    </row>
    <row r="107" spans="1:3" s="22" customFormat="1" ht="15.75" x14ac:dyDescent="0.25">
      <c r="A107" s="33" t="s">
        <v>176</v>
      </c>
    </row>
    <row r="108" spans="1:3" s="22" customFormat="1" ht="15.75" x14ac:dyDescent="0.25">
      <c r="A108" s="33" t="s">
        <v>69</v>
      </c>
    </row>
    <row r="109" spans="1:3" s="22" customFormat="1" ht="15.75" x14ac:dyDescent="0.25">
      <c r="A109" s="33" t="s">
        <v>79</v>
      </c>
    </row>
    <row r="110" spans="1:3" s="22" customFormat="1" ht="15.75" x14ac:dyDescent="0.25">
      <c r="A110" s="33" t="s">
        <v>80</v>
      </c>
    </row>
    <row r="111" spans="1:3" s="22" customFormat="1" ht="15.75" x14ac:dyDescent="0.25">
      <c r="A111" s="33" t="s">
        <v>177</v>
      </c>
    </row>
    <row r="112" spans="1:3" s="22" customFormat="1" ht="15.75" x14ac:dyDescent="0.25">
      <c r="A112" s="33" t="s">
        <v>178</v>
      </c>
    </row>
    <row r="113" spans="1:1" s="22" customFormat="1" ht="15.75" x14ac:dyDescent="0.25">
      <c r="A113" s="33" t="s">
        <v>179</v>
      </c>
    </row>
    <row r="114" spans="1:1" s="22" customFormat="1" ht="15.75" x14ac:dyDescent="0.25">
      <c r="A114" s="33" t="s">
        <v>180</v>
      </c>
    </row>
    <row r="115" spans="1:1" s="22" customFormat="1" ht="15.75" x14ac:dyDescent="0.25">
      <c r="A115" s="33" t="s">
        <v>181</v>
      </c>
    </row>
    <row r="116" spans="1:1" s="22" customFormat="1" ht="15.75" x14ac:dyDescent="0.25">
      <c r="A116" s="33" t="s">
        <v>182</v>
      </c>
    </row>
    <row r="117" spans="1:1" s="22" customFormat="1" ht="15.75" x14ac:dyDescent="0.25">
      <c r="A117" s="33" t="s">
        <v>183</v>
      </c>
    </row>
    <row r="118" spans="1:1" s="22" customFormat="1" ht="15.75" x14ac:dyDescent="0.25">
      <c r="A118" s="33" t="s">
        <v>184</v>
      </c>
    </row>
    <row r="119" spans="1:1" s="22" customFormat="1" ht="15.75" x14ac:dyDescent="0.25">
      <c r="A119" s="33" t="s">
        <v>185</v>
      </c>
    </row>
    <row r="120" spans="1:1" s="22" customFormat="1" ht="15.75" x14ac:dyDescent="0.25">
      <c r="A120" s="33" t="s">
        <v>186</v>
      </c>
    </row>
    <row r="121" spans="1:1" s="22" customFormat="1" ht="15.75" x14ac:dyDescent="0.25">
      <c r="A121" s="33" t="s">
        <v>187</v>
      </c>
    </row>
    <row r="122" spans="1:1" s="22" customFormat="1" ht="15.75" x14ac:dyDescent="0.25">
      <c r="A122" s="32" t="s">
        <v>188</v>
      </c>
    </row>
    <row r="123" spans="1:1" s="22" customFormat="1" ht="15.75" x14ac:dyDescent="0.25">
      <c r="A123" s="33" t="s">
        <v>189</v>
      </c>
    </row>
    <row r="124" spans="1:1" s="22" customFormat="1" ht="15.75" x14ac:dyDescent="0.25">
      <c r="A124" s="33" t="s">
        <v>190</v>
      </c>
    </row>
    <row r="125" spans="1:1" s="22" customFormat="1" ht="15.75" x14ac:dyDescent="0.25">
      <c r="A125" s="33" t="s">
        <v>191</v>
      </c>
    </row>
    <row r="126" spans="1:1" s="22" customFormat="1" ht="15.75" x14ac:dyDescent="0.25">
      <c r="A126" s="33" t="s">
        <v>192</v>
      </c>
    </row>
    <row r="127" spans="1:1" s="22" customFormat="1" ht="15.75" x14ac:dyDescent="0.25">
      <c r="A127" s="33" t="s">
        <v>193</v>
      </c>
    </row>
    <row r="128" spans="1:1" s="22" customFormat="1" ht="15.75" x14ac:dyDescent="0.25">
      <c r="A128" s="31"/>
    </row>
    <row r="129" spans="1:1" s="22" customFormat="1" ht="15.75" x14ac:dyDescent="0.25">
      <c r="A129" s="32" t="s">
        <v>194</v>
      </c>
    </row>
    <row r="130" spans="1:1" s="22" customFormat="1" ht="15.75" x14ac:dyDescent="0.25">
      <c r="A130" s="32" t="s">
        <v>134</v>
      </c>
    </row>
    <row r="131" spans="1:1" s="22" customFormat="1" ht="15.75" x14ac:dyDescent="0.25">
      <c r="A131" s="33" t="s">
        <v>195</v>
      </c>
    </row>
    <row r="132" spans="1:1" s="22" customFormat="1" ht="15.75" x14ac:dyDescent="0.25">
      <c r="A132" s="34" t="s">
        <v>196</v>
      </c>
    </row>
    <row r="133" spans="1:1" s="22" customFormat="1" ht="15.75" x14ac:dyDescent="0.25">
      <c r="A133" s="34" t="s">
        <v>197</v>
      </c>
    </row>
    <row r="134" spans="1:1" s="22" customFormat="1" ht="15.75" x14ac:dyDescent="0.25">
      <c r="A134" s="33" t="s">
        <v>198</v>
      </c>
    </row>
    <row r="135" spans="1:1" s="22" customFormat="1" ht="15.75" x14ac:dyDescent="0.25">
      <c r="A135" s="33" t="s">
        <v>199</v>
      </c>
    </row>
    <row r="136" spans="1:1" s="22" customFormat="1" ht="15.75" x14ac:dyDescent="0.25">
      <c r="A136" s="33" t="s">
        <v>200</v>
      </c>
    </row>
    <row r="137" spans="1:1" s="22" customFormat="1" ht="15.75" x14ac:dyDescent="0.25">
      <c r="A137" s="33" t="s">
        <v>201</v>
      </c>
    </row>
    <row r="138" spans="1:1" s="22" customFormat="1" ht="15.75" x14ac:dyDescent="0.25">
      <c r="A138" s="33" t="s">
        <v>202</v>
      </c>
    </row>
    <row r="139" spans="1:1" s="22" customFormat="1" ht="15.75" x14ac:dyDescent="0.25">
      <c r="A139" s="33" t="s">
        <v>203</v>
      </c>
    </row>
    <row r="140" spans="1:1" s="22" customFormat="1" ht="15.75" x14ac:dyDescent="0.25">
      <c r="A140" s="33" t="s">
        <v>204</v>
      </c>
    </row>
    <row r="141" spans="1:1" s="22" customFormat="1" ht="15.75" x14ac:dyDescent="0.25">
      <c r="A141" s="33" t="s">
        <v>205</v>
      </c>
    </row>
    <row r="142" spans="1:1" s="22" customFormat="1" ht="15.75" x14ac:dyDescent="0.25">
      <c r="A142" s="33" t="s">
        <v>206</v>
      </c>
    </row>
    <row r="143" spans="1:1" s="22" customFormat="1" ht="15.75" x14ac:dyDescent="0.25">
      <c r="A143" s="33" t="s">
        <v>207</v>
      </c>
    </row>
    <row r="144" spans="1:1" s="22" customFormat="1" ht="15.75" x14ac:dyDescent="0.25">
      <c r="A144" s="33" t="s">
        <v>208</v>
      </c>
    </row>
    <row r="145" spans="1:1" s="22" customFormat="1" ht="15.75" x14ac:dyDescent="0.25">
      <c r="A145" s="33" t="s">
        <v>209</v>
      </c>
    </row>
    <row r="146" spans="1:1" s="22" customFormat="1" ht="15.75" x14ac:dyDescent="0.25">
      <c r="A146" s="33" t="s">
        <v>210</v>
      </c>
    </row>
    <row r="147" spans="1:1" s="22" customFormat="1" ht="15.75" x14ac:dyDescent="0.25">
      <c r="A147" s="32" t="s">
        <v>211</v>
      </c>
    </row>
    <row r="148" spans="1:1" s="22" customFormat="1" ht="15.75" x14ac:dyDescent="0.25">
      <c r="A148" s="33" t="s">
        <v>212</v>
      </c>
    </row>
    <row r="149" spans="1:1" s="22" customFormat="1" ht="15.75" x14ac:dyDescent="0.25">
      <c r="A149" s="33" t="s">
        <v>213</v>
      </c>
    </row>
    <row r="150" spans="1:1" s="22" customFormat="1" ht="15.75" x14ac:dyDescent="0.25">
      <c r="A150" s="33" t="s">
        <v>214</v>
      </c>
    </row>
    <row r="151" spans="1:1" s="22" customFormat="1" ht="15.75" x14ac:dyDescent="0.25">
      <c r="A151" s="33" t="s">
        <v>215</v>
      </c>
    </row>
    <row r="152" spans="1:1" s="22" customFormat="1" ht="15.75" x14ac:dyDescent="0.25">
      <c r="A152" s="33" t="s">
        <v>216</v>
      </c>
    </row>
    <row r="153" spans="1:1" s="22" customFormat="1" ht="15.75" x14ac:dyDescent="0.25">
      <c r="A153" s="31"/>
    </row>
    <row r="154" spans="1:1" s="22" customFormat="1" ht="18.75" x14ac:dyDescent="0.25">
      <c r="A154" s="29" t="s">
        <v>217</v>
      </c>
    </row>
    <row r="155" spans="1:1" s="22" customFormat="1" ht="18.75" x14ac:dyDescent="0.25">
      <c r="A155" s="29" t="s">
        <v>218</v>
      </c>
    </row>
    <row r="156" spans="1:1" s="22" customFormat="1" ht="15.75" x14ac:dyDescent="0.25">
      <c r="A156" s="31"/>
    </row>
    <row r="157" spans="1:1" s="22" customFormat="1" ht="18.75" x14ac:dyDescent="0.25">
      <c r="A157" s="29" t="s">
        <v>219</v>
      </c>
    </row>
    <row r="158" spans="1:1" s="22" customFormat="1" ht="15.75" x14ac:dyDescent="0.25">
      <c r="A158" s="32" t="s">
        <v>134</v>
      </c>
    </row>
    <row r="159" spans="1:1" s="22" customFormat="1" ht="15.75" x14ac:dyDescent="0.25">
      <c r="A159" s="33" t="s">
        <v>220</v>
      </c>
    </row>
    <row r="160" spans="1:1" s="22" customFormat="1" ht="15.75" x14ac:dyDescent="0.25">
      <c r="A160" s="33" t="s">
        <v>221</v>
      </c>
    </row>
    <row r="161" spans="1:1" s="22" customFormat="1" ht="15.75" x14ac:dyDescent="0.25">
      <c r="A161" s="33" t="s">
        <v>222</v>
      </c>
    </row>
    <row r="162" spans="1:1" s="22" customFormat="1" ht="15.75" x14ac:dyDescent="0.25">
      <c r="A162" s="33" t="s">
        <v>223</v>
      </c>
    </row>
    <row r="163" spans="1:1" s="22" customFormat="1" ht="15.75" x14ac:dyDescent="0.25">
      <c r="A163" s="33" t="s">
        <v>224</v>
      </c>
    </row>
    <row r="164" spans="1:1" s="22" customFormat="1" ht="15.75" x14ac:dyDescent="0.25">
      <c r="A164" s="33" t="s">
        <v>202</v>
      </c>
    </row>
    <row r="165" spans="1:1" s="22" customFormat="1" ht="15.75" x14ac:dyDescent="0.25">
      <c r="A165" s="33" t="s">
        <v>205</v>
      </c>
    </row>
    <row r="166" spans="1:1" s="22" customFormat="1" ht="15.75" x14ac:dyDescent="0.25">
      <c r="A166" s="33" t="s">
        <v>198</v>
      </c>
    </row>
    <row r="167" spans="1:1" s="22" customFormat="1" ht="15.75" x14ac:dyDescent="0.25">
      <c r="A167" s="33" t="s">
        <v>225</v>
      </c>
    </row>
    <row r="168" spans="1:1" s="22" customFormat="1" ht="15.75" x14ac:dyDescent="0.25">
      <c r="A168" s="33" t="s">
        <v>226</v>
      </c>
    </row>
    <row r="169" spans="1:1" s="22" customFormat="1" ht="15.75" x14ac:dyDescent="0.25">
      <c r="A169" s="33" t="s">
        <v>227</v>
      </c>
    </row>
    <row r="170" spans="1:1" s="22" customFormat="1" ht="15.75" x14ac:dyDescent="0.25">
      <c r="A170" s="33" t="s">
        <v>228</v>
      </c>
    </row>
    <row r="171" spans="1:1" s="22" customFormat="1" ht="15.75" x14ac:dyDescent="0.25">
      <c r="A171" s="33" t="s">
        <v>229</v>
      </c>
    </row>
    <row r="172" spans="1:1" s="22" customFormat="1" ht="15.75" x14ac:dyDescent="0.25">
      <c r="A172" s="33" t="s">
        <v>230</v>
      </c>
    </row>
    <row r="173" spans="1:1" s="22" customFormat="1" ht="15.75" x14ac:dyDescent="0.25">
      <c r="A173" s="36"/>
    </row>
    <row r="174" spans="1:1" s="22" customFormat="1" ht="15.75" x14ac:dyDescent="0.25">
      <c r="A174" s="32" t="s">
        <v>211</v>
      </c>
    </row>
    <row r="175" spans="1:1" s="22" customFormat="1" ht="15.75" x14ac:dyDescent="0.25">
      <c r="A175" s="33" t="s">
        <v>231</v>
      </c>
    </row>
    <row r="176" spans="1:1" s="22" customFormat="1" ht="15.75" x14ac:dyDescent="0.25">
      <c r="A176" s="33" t="s">
        <v>232</v>
      </c>
    </row>
    <row r="177" spans="1:1" s="22" customFormat="1" ht="15.75" x14ac:dyDescent="0.25">
      <c r="A177" s="33" t="s">
        <v>233</v>
      </c>
    </row>
    <row r="178" spans="1:1" s="22" customFormat="1" ht="15.75" x14ac:dyDescent="0.25">
      <c r="A178" s="33" t="s">
        <v>234</v>
      </c>
    </row>
    <row r="179" spans="1:1" s="22" customFormat="1" ht="15.75" x14ac:dyDescent="0.25">
      <c r="A179" s="31"/>
    </row>
    <row r="180" spans="1:1" s="22" customFormat="1" ht="18.75" x14ac:dyDescent="0.25">
      <c r="A180" s="29" t="s">
        <v>235</v>
      </c>
    </row>
    <row r="181" spans="1:1" s="22" customFormat="1" ht="15.75" x14ac:dyDescent="0.25">
      <c r="A181" s="31" t="s">
        <v>236</v>
      </c>
    </row>
    <row r="182" spans="1:1" s="22" customFormat="1" ht="15.75" x14ac:dyDescent="0.25">
      <c r="A182" s="32" t="s">
        <v>134</v>
      </c>
    </row>
    <row r="183" spans="1:1" s="22" customFormat="1" ht="15.75" x14ac:dyDescent="0.25">
      <c r="A183" s="33" t="s">
        <v>237</v>
      </c>
    </row>
    <row r="184" spans="1:1" s="22" customFormat="1" ht="15.75" x14ac:dyDescent="0.25">
      <c r="A184" s="33" t="s">
        <v>238</v>
      </c>
    </row>
    <row r="185" spans="1:1" s="22" customFormat="1" ht="15.75" x14ac:dyDescent="0.25">
      <c r="A185" s="33" t="s">
        <v>239</v>
      </c>
    </row>
    <row r="186" spans="1:1" s="22" customFormat="1" ht="15.75" x14ac:dyDescent="0.25">
      <c r="A186" s="33" t="s">
        <v>240</v>
      </c>
    </row>
    <row r="187" spans="1:1" s="22" customFormat="1" ht="15.75" x14ac:dyDescent="0.25">
      <c r="A187" s="33" t="s">
        <v>241</v>
      </c>
    </row>
    <row r="188" spans="1:1" s="22" customFormat="1" ht="15.75" x14ac:dyDescent="0.25">
      <c r="A188" s="33" t="s">
        <v>242</v>
      </c>
    </row>
    <row r="189" spans="1:1" s="22" customFormat="1" ht="15.75" x14ac:dyDescent="0.25">
      <c r="A189" s="33" t="s">
        <v>243</v>
      </c>
    </row>
    <row r="190" spans="1:1" s="22" customFormat="1" ht="15.75" x14ac:dyDescent="0.25">
      <c r="A190" s="33" t="s">
        <v>244</v>
      </c>
    </row>
    <row r="191" spans="1:1" s="22" customFormat="1" ht="15.75" x14ac:dyDescent="0.25">
      <c r="A191" s="33" t="s">
        <v>245</v>
      </c>
    </row>
    <row r="192" spans="1:1" s="22" customFormat="1" ht="15.75" x14ac:dyDescent="0.25">
      <c r="A192" s="33" t="s">
        <v>246</v>
      </c>
    </row>
    <row r="193" spans="1:1" s="22" customFormat="1" ht="15.75" x14ac:dyDescent="0.25">
      <c r="A193" s="33" t="s">
        <v>247</v>
      </c>
    </row>
    <row r="194" spans="1:1" s="22" customFormat="1" ht="15.75" x14ac:dyDescent="0.25">
      <c r="A194" s="33" t="s">
        <v>248</v>
      </c>
    </row>
    <row r="195" spans="1:1" s="22" customFormat="1" ht="15.75" x14ac:dyDescent="0.25">
      <c r="A195" s="33" t="s">
        <v>249</v>
      </c>
    </row>
    <row r="196" spans="1:1" s="22" customFormat="1" ht="15.75" x14ac:dyDescent="0.25">
      <c r="A196" s="33" t="s">
        <v>250</v>
      </c>
    </row>
    <row r="197" spans="1:1" s="22" customFormat="1" ht="15.75" x14ac:dyDescent="0.25">
      <c r="A197" s="32" t="s">
        <v>211</v>
      </c>
    </row>
    <row r="198" spans="1:1" s="22" customFormat="1" ht="15.75" x14ac:dyDescent="0.25">
      <c r="A198" s="33" t="s">
        <v>251</v>
      </c>
    </row>
    <row r="199" spans="1:1" s="22" customFormat="1" ht="15.75" x14ac:dyDescent="0.25">
      <c r="A199" s="33" t="s">
        <v>252</v>
      </c>
    </row>
    <row r="200" spans="1:1" s="22" customFormat="1" ht="15.75" x14ac:dyDescent="0.25">
      <c r="A200" s="33" t="s">
        <v>253</v>
      </c>
    </row>
    <row r="201" spans="1:1" s="22" customFormat="1" ht="15.75" x14ac:dyDescent="0.25">
      <c r="A201" s="33" t="s">
        <v>254</v>
      </c>
    </row>
    <row r="202" spans="1:1" s="22" customFormat="1" ht="15.75" x14ac:dyDescent="0.25">
      <c r="A202" s="33" t="s">
        <v>255</v>
      </c>
    </row>
    <row r="203" spans="1:1" s="22" customFormat="1" ht="18.75" x14ac:dyDescent="0.25">
      <c r="A203" s="37"/>
    </row>
    <row r="204" spans="1:1" s="22" customFormat="1" ht="18.75" x14ac:dyDescent="0.25">
      <c r="A204" s="29" t="s">
        <v>256</v>
      </c>
    </row>
    <row r="205" spans="1:1" s="22" customFormat="1" ht="18.75" x14ac:dyDescent="0.25">
      <c r="A205" s="38" t="s">
        <v>257</v>
      </c>
    </row>
    <row r="206" spans="1:1" s="22" customFormat="1" ht="15.75" x14ac:dyDescent="0.25">
      <c r="A206" s="31"/>
    </row>
    <row r="207" spans="1:1" s="22" customFormat="1" ht="18.75" x14ac:dyDescent="0.25">
      <c r="A207" s="29" t="s">
        <v>258</v>
      </c>
    </row>
    <row r="208" spans="1:1" s="22" customFormat="1" ht="15.75" x14ac:dyDescent="0.25">
      <c r="A208" s="32" t="s">
        <v>259</v>
      </c>
    </row>
    <row r="209" spans="1:1" s="22" customFormat="1" ht="15.75" x14ac:dyDescent="0.25">
      <c r="A209" s="33" t="s">
        <v>260</v>
      </c>
    </row>
    <row r="210" spans="1:1" s="22" customFormat="1" ht="15.75" x14ac:dyDescent="0.25">
      <c r="A210" s="33" t="s">
        <v>261</v>
      </c>
    </row>
    <row r="211" spans="1:1" s="22" customFormat="1" ht="15.75" x14ac:dyDescent="0.25">
      <c r="A211" s="33" t="s">
        <v>262</v>
      </c>
    </row>
    <row r="212" spans="1:1" s="22" customFormat="1" ht="15.75" x14ac:dyDescent="0.25">
      <c r="A212" s="33" t="s">
        <v>263</v>
      </c>
    </row>
    <row r="213" spans="1:1" s="22" customFormat="1" ht="15.75" x14ac:dyDescent="0.25">
      <c r="A213" s="33" t="s">
        <v>264</v>
      </c>
    </row>
    <row r="214" spans="1:1" s="22" customFormat="1" ht="15.75" x14ac:dyDescent="0.25">
      <c r="A214" s="33" t="s">
        <v>265</v>
      </c>
    </row>
    <row r="215" spans="1:1" s="22" customFormat="1" ht="15.75" x14ac:dyDescent="0.25">
      <c r="A215" s="33" t="s">
        <v>266</v>
      </c>
    </row>
    <row r="216" spans="1:1" s="22" customFormat="1" ht="15.75" x14ac:dyDescent="0.25">
      <c r="A216" s="33" t="s">
        <v>267</v>
      </c>
    </row>
    <row r="217" spans="1:1" s="22" customFormat="1" ht="15.75" x14ac:dyDescent="0.25">
      <c r="A217" s="33" t="s">
        <v>268</v>
      </c>
    </row>
    <row r="218" spans="1:1" s="22" customFormat="1" ht="15.75" x14ac:dyDescent="0.25">
      <c r="A218" s="32" t="s">
        <v>269</v>
      </c>
    </row>
    <row r="219" spans="1:1" s="22" customFormat="1" ht="15.75" x14ac:dyDescent="0.25">
      <c r="A219" s="33" t="s">
        <v>270</v>
      </c>
    </row>
    <row r="220" spans="1:1" s="22" customFormat="1" ht="15.75" x14ac:dyDescent="0.25">
      <c r="A220" s="33" t="s">
        <v>271</v>
      </c>
    </row>
    <row r="221" spans="1:1" s="22" customFormat="1" ht="15.75" x14ac:dyDescent="0.25">
      <c r="A221" s="33" t="s">
        <v>272</v>
      </c>
    </row>
    <row r="222" spans="1:1" s="22" customFormat="1" ht="15.75" x14ac:dyDescent="0.25">
      <c r="A222" s="33" t="s">
        <v>273</v>
      </c>
    </row>
    <row r="223" spans="1:1" s="22" customFormat="1" ht="15.75" x14ac:dyDescent="0.25">
      <c r="A223" s="33" t="s">
        <v>274</v>
      </c>
    </row>
    <row r="224" spans="1:1" s="22" customFormat="1" ht="15.75" x14ac:dyDescent="0.25">
      <c r="A224" s="33" t="s">
        <v>275</v>
      </c>
    </row>
    <row r="225" spans="1:1" s="22" customFormat="1" ht="15.75" x14ac:dyDescent="0.25">
      <c r="A225" s="33" t="s">
        <v>276</v>
      </c>
    </row>
    <row r="226" spans="1:1" s="22" customFormat="1" ht="15.75" x14ac:dyDescent="0.25">
      <c r="A226" s="33" t="s">
        <v>277</v>
      </c>
    </row>
    <row r="227" spans="1:1" s="22" customFormat="1" ht="15.75" x14ac:dyDescent="0.25">
      <c r="A227" s="33" t="s">
        <v>278</v>
      </c>
    </row>
    <row r="228" spans="1:1" s="22" customFormat="1" ht="15.75" x14ac:dyDescent="0.25">
      <c r="A228" s="33" t="s">
        <v>279</v>
      </c>
    </row>
    <row r="229" spans="1:1" s="22" customFormat="1" ht="15.75" x14ac:dyDescent="0.25">
      <c r="A229" s="33" t="s">
        <v>280</v>
      </c>
    </row>
    <row r="230" spans="1:1" s="22" customFormat="1" ht="15.75" x14ac:dyDescent="0.25">
      <c r="A230" s="32" t="s">
        <v>211</v>
      </c>
    </row>
    <row r="231" spans="1:1" s="22" customFormat="1" ht="15.75" x14ac:dyDescent="0.25">
      <c r="A231" s="31" t="s">
        <v>281</v>
      </c>
    </row>
    <row r="232" spans="1:1" s="22" customFormat="1" ht="15.75" x14ac:dyDescent="0.25">
      <c r="A232" s="31"/>
    </row>
    <row r="233" spans="1:1" s="22" customFormat="1" ht="15.75" x14ac:dyDescent="0.25">
      <c r="A233" s="32" t="s">
        <v>282</v>
      </c>
    </row>
    <row r="234" spans="1:1" s="22" customFormat="1" ht="15.75" x14ac:dyDescent="0.25">
      <c r="A234" s="32" t="s">
        <v>134</v>
      </c>
    </row>
    <row r="235" spans="1:1" s="22" customFormat="1" ht="15.75" x14ac:dyDescent="0.25">
      <c r="A235" s="26" t="s">
        <v>283</v>
      </c>
    </row>
    <row r="236" spans="1:1" s="22" customFormat="1" ht="15.75" x14ac:dyDescent="0.25">
      <c r="A236" s="26" t="s">
        <v>284</v>
      </c>
    </row>
    <row r="237" spans="1:1" s="22" customFormat="1" ht="15.75" x14ac:dyDescent="0.25">
      <c r="A237" s="26" t="s">
        <v>285</v>
      </c>
    </row>
    <row r="238" spans="1:1" s="22" customFormat="1" ht="15.75" x14ac:dyDescent="0.25">
      <c r="A238" s="26" t="s">
        <v>286</v>
      </c>
    </row>
    <row r="239" spans="1:1" s="22" customFormat="1" ht="15.75" x14ac:dyDescent="0.25">
      <c r="A239" s="26" t="s">
        <v>287</v>
      </c>
    </row>
    <row r="240" spans="1:1" s="22" customFormat="1" ht="15.75" x14ac:dyDescent="0.25">
      <c r="A240" s="26" t="s">
        <v>288</v>
      </c>
    </row>
    <row r="241" spans="1:1" s="22" customFormat="1" ht="15.75" x14ac:dyDescent="0.25">
      <c r="A241" s="26" t="s">
        <v>289</v>
      </c>
    </row>
    <row r="242" spans="1:1" s="22" customFormat="1" ht="15.75" x14ac:dyDescent="0.25">
      <c r="A242" s="26" t="s">
        <v>290</v>
      </c>
    </row>
    <row r="243" spans="1:1" s="22" customFormat="1" ht="15.75" x14ac:dyDescent="0.25">
      <c r="A243" s="26" t="s">
        <v>291</v>
      </c>
    </row>
    <row r="244" spans="1:1" s="22" customFormat="1" ht="15.75" x14ac:dyDescent="0.25">
      <c r="A244" s="26" t="s">
        <v>292</v>
      </c>
    </row>
    <row r="245" spans="1:1" s="22" customFormat="1" ht="15.75" x14ac:dyDescent="0.25">
      <c r="A245" s="26" t="s">
        <v>293</v>
      </c>
    </row>
    <row r="246" spans="1:1" s="22" customFormat="1" ht="15.75" x14ac:dyDescent="0.25">
      <c r="A246" s="39" t="s">
        <v>294</v>
      </c>
    </row>
    <row r="247" spans="1:1" s="22" customFormat="1" ht="15.75" x14ac:dyDescent="0.25">
      <c r="A247" s="39" t="s">
        <v>295</v>
      </c>
    </row>
    <row r="248" spans="1:1" s="22" customFormat="1" ht="15.75" x14ac:dyDescent="0.25">
      <c r="A248" s="39" t="s">
        <v>296</v>
      </c>
    </row>
    <row r="249" spans="1:1" s="22" customFormat="1" ht="15.75" x14ac:dyDescent="0.25">
      <c r="A249" s="39" t="s">
        <v>297</v>
      </c>
    </row>
    <row r="250" spans="1:1" s="22" customFormat="1" ht="15.75" x14ac:dyDescent="0.25">
      <c r="A250" s="39" t="s">
        <v>298</v>
      </c>
    </row>
    <row r="251" spans="1:1" s="22" customFormat="1" ht="15.75" x14ac:dyDescent="0.25">
      <c r="A251" s="39" t="s">
        <v>299</v>
      </c>
    </row>
    <row r="252" spans="1:1" s="22" customFormat="1" ht="15.75" x14ac:dyDescent="0.25">
      <c r="A252" s="39" t="s">
        <v>300</v>
      </c>
    </row>
    <row r="253" spans="1:1" s="22" customFormat="1" ht="15.75" x14ac:dyDescent="0.25">
      <c r="A253" s="26" t="s">
        <v>301</v>
      </c>
    </row>
    <row r="254" spans="1:1" s="22" customFormat="1" ht="15.75" x14ac:dyDescent="0.25">
      <c r="A254" s="26" t="s">
        <v>302</v>
      </c>
    </row>
    <row r="255" spans="1:1" s="22" customFormat="1" ht="15.75" x14ac:dyDescent="0.25">
      <c r="A255" s="26" t="s">
        <v>303</v>
      </c>
    </row>
    <row r="256" spans="1:1" s="22" customFormat="1" ht="15.75" x14ac:dyDescent="0.25">
      <c r="A256" s="26" t="s">
        <v>304</v>
      </c>
    </row>
    <row r="257" spans="1:1" s="22" customFormat="1" ht="15.75" x14ac:dyDescent="0.25">
      <c r="A257" s="32" t="s">
        <v>211</v>
      </c>
    </row>
    <row r="258" spans="1:1" s="22" customFormat="1" ht="15.75" x14ac:dyDescent="0.25">
      <c r="A258" s="31" t="s">
        <v>305</v>
      </c>
    </row>
    <row r="259" spans="1:1" s="22" customFormat="1" ht="15.75" x14ac:dyDescent="0.25">
      <c r="A259" s="33" t="s">
        <v>306</v>
      </c>
    </row>
    <row r="260" spans="1:1" s="22" customFormat="1" ht="15.75" x14ac:dyDescent="0.25">
      <c r="A260" s="33" t="s">
        <v>307</v>
      </c>
    </row>
    <row r="261" spans="1:1" s="22" customFormat="1" ht="15.75" x14ac:dyDescent="0.25">
      <c r="A261" s="33" t="s">
        <v>308</v>
      </c>
    </row>
    <row r="262" spans="1:1" s="22" customFormat="1" ht="15.75" x14ac:dyDescent="0.25">
      <c r="A262" s="33" t="s">
        <v>278</v>
      </c>
    </row>
    <row r="263" spans="1:1" s="22" customFormat="1" ht="15.75" x14ac:dyDescent="0.25">
      <c r="A263" s="33" t="s">
        <v>309</v>
      </c>
    </row>
    <row r="264" spans="1:1" s="22" customFormat="1" ht="15.75" x14ac:dyDescent="0.25">
      <c r="A264" s="33" t="s">
        <v>310</v>
      </c>
    </row>
    <row r="265" spans="1:1" s="22" customFormat="1" ht="15.75" x14ac:dyDescent="0.25">
      <c r="A265" s="31"/>
    </row>
    <row r="266" spans="1:1" s="22" customFormat="1" ht="18.75" x14ac:dyDescent="0.25">
      <c r="A266" s="29" t="s">
        <v>311</v>
      </c>
    </row>
    <row r="267" spans="1:1" s="22" customFormat="1" ht="18.75" x14ac:dyDescent="0.25">
      <c r="A267" s="37" t="s">
        <v>312</v>
      </c>
    </row>
    <row r="268" spans="1:1" s="22" customFormat="1" ht="15.75" x14ac:dyDescent="0.25">
      <c r="A268" s="31"/>
    </row>
    <row r="269" spans="1:1" s="22" customFormat="1" ht="18.75" x14ac:dyDescent="0.25">
      <c r="A269" s="29" t="s">
        <v>313</v>
      </c>
    </row>
    <row r="270" spans="1:1" s="22" customFormat="1" ht="15.75" x14ac:dyDescent="0.25">
      <c r="A270" s="32" t="s">
        <v>134</v>
      </c>
    </row>
    <row r="271" spans="1:1" s="22" customFormat="1" ht="15.75" x14ac:dyDescent="0.25">
      <c r="A271" s="26" t="s">
        <v>314</v>
      </c>
    </row>
    <row r="272" spans="1:1" s="22" customFormat="1" ht="15.75" x14ac:dyDescent="0.25">
      <c r="A272" s="26" t="s">
        <v>315</v>
      </c>
    </row>
    <row r="273" spans="1:1" s="22" customFormat="1" ht="15.75" x14ac:dyDescent="0.25">
      <c r="A273" s="26" t="s">
        <v>316</v>
      </c>
    </row>
    <row r="274" spans="1:1" s="22" customFormat="1" ht="15.75" x14ac:dyDescent="0.25">
      <c r="A274" s="26" t="s">
        <v>317</v>
      </c>
    </row>
    <row r="275" spans="1:1" s="22" customFormat="1" ht="15.75" x14ac:dyDescent="0.25">
      <c r="A275" s="26" t="s">
        <v>318</v>
      </c>
    </row>
    <row r="276" spans="1:1" s="22" customFormat="1" ht="15.75" x14ac:dyDescent="0.25">
      <c r="A276" s="26" t="s">
        <v>319</v>
      </c>
    </row>
    <row r="277" spans="1:1" s="22" customFormat="1" ht="15.75" x14ac:dyDescent="0.25">
      <c r="A277" s="26" t="s">
        <v>320</v>
      </c>
    </row>
    <row r="278" spans="1:1" s="22" customFormat="1" ht="15.75" x14ac:dyDescent="0.25">
      <c r="A278" s="26" t="s">
        <v>321</v>
      </c>
    </row>
    <row r="279" spans="1:1" s="22" customFormat="1" ht="15.75" x14ac:dyDescent="0.25">
      <c r="A279" s="26" t="s">
        <v>322</v>
      </c>
    </row>
    <row r="280" spans="1:1" s="22" customFormat="1" ht="15.75" x14ac:dyDescent="0.25">
      <c r="A280" s="26" t="s">
        <v>323</v>
      </c>
    </row>
    <row r="281" spans="1:1" s="22" customFormat="1" ht="15.75" x14ac:dyDescent="0.25">
      <c r="A281" s="26" t="s">
        <v>324</v>
      </c>
    </row>
    <row r="282" spans="1:1" s="22" customFormat="1" ht="15.75" x14ac:dyDescent="0.25">
      <c r="A282" s="26" t="s">
        <v>325</v>
      </c>
    </row>
    <row r="283" spans="1:1" s="22" customFormat="1" ht="15.75" x14ac:dyDescent="0.25">
      <c r="A283" s="26" t="s">
        <v>326</v>
      </c>
    </row>
    <row r="284" spans="1:1" s="22" customFormat="1" ht="15.75" x14ac:dyDescent="0.25">
      <c r="A284" s="26" t="s">
        <v>327</v>
      </c>
    </row>
    <row r="285" spans="1:1" s="22" customFormat="1" ht="15.75" x14ac:dyDescent="0.25">
      <c r="A285" s="26" t="s">
        <v>328</v>
      </c>
    </row>
    <row r="286" spans="1:1" s="22" customFormat="1" ht="15.75" x14ac:dyDescent="0.25">
      <c r="A286" s="26" t="s">
        <v>329</v>
      </c>
    </row>
    <row r="287" spans="1:1" s="22" customFormat="1" ht="15.75" x14ac:dyDescent="0.25">
      <c r="A287" s="26" t="s">
        <v>330</v>
      </c>
    </row>
    <row r="288" spans="1:1" s="22" customFormat="1" ht="15.75" x14ac:dyDescent="0.25">
      <c r="A288" s="26" t="s">
        <v>331</v>
      </c>
    </row>
    <row r="289" spans="1:1" s="22" customFormat="1" ht="15.75" x14ac:dyDescent="0.25">
      <c r="A289" s="26" t="s">
        <v>332</v>
      </c>
    </row>
    <row r="290" spans="1:1" s="22" customFormat="1" ht="15.75" x14ac:dyDescent="0.25">
      <c r="A290" s="26" t="s">
        <v>333</v>
      </c>
    </row>
    <row r="291" spans="1:1" s="22" customFormat="1" ht="15.75" x14ac:dyDescent="0.25">
      <c r="A291" s="26" t="s">
        <v>334</v>
      </c>
    </row>
    <row r="292" spans="1:1" s="22" customFormat="1" ht="15.75" x14ac:dyDescent="0.25">
      <c r="A292" s="26" t="s">
        <v>335</v>
      </c>
    </row>
    <row r="293" spans="1:1" s="22" customFormat="1" ht="15.75" x14ac:dyDescent="0.25">
      <c r="A293" s="32" t="s">
        <v>162</v>
      </c>
    </row>
    <row r="294" spans="1:1" s="22" customFormat="1" ht="15.75" x14ac:dyDescent="0.25">
      <c r="A294" s="31" t="s">
        <v>336</v>
      </c>
    </row>
    <row r="295" spans="1:1" s="22" customFormat="1" ht="15.75" x14ac:dyDescent="0.25">
      <c r="A295" s="31"/>
    </row>
    <row r="296" spans="1:1" s="22" customFormat="1" ht="18.75" x14ac:dyDescent="0.25">
      <c r="A296" s="29" t="s">
        <v>337</v>
      </c>
    </row>
    <row r="297" spans="1:1" s="22" customFormat="1" ht="15.75" x14ac:dyDescent="0.25">
      <c r="A297" s="32" t="s">
        <v>134</v>
      </c>
    </row>
    <row r="298" spans="1:1" s="22" customFormat="1" ht="15.75" x14ac:dyDescent="0.25">
      <c r="A298" s="26" t="s">
        <v>338</v>
      </c>
    </row>
    <row r="299" spans="1:1" s="22" customFormat="1" ht="15.75" x14ac:dyDescent="0.25">
      <c r="A299" s="26" t="s">
        <v>339</v>
      </c>
    </row>
    <row r="300" spans="1:1" s="22" customFormat="1" ht="15.75" x14ac:dyDescent="0.25">
      <c r="A300" s="26" t="s">
        <v>340</v>
      </c>
    </row>
    <row r="301" spans="1:1" s="22" customFormat="1" ht="15.75" x14ac:dyDescent="0.25">
      <c r="A301" s="26" t="s">
        <v>341</v>
      </c>
    </row>
    <row r="302" spans="1:1" s="22" customFormat="1" ht="15.75" x14ac:dyDescent="0.25">
      <c r="A302" s="39" t="s">
        <v>342</v>
      </c>
    </row>
    <row r="303" spans="1:1" s="22" customFormat="1" ht="15.75" x14ac:dyDescent="0.25">
      <c r="A303" s="39" t="s">
        <v>343</v>
      </c>
    </row>
    <row r="304" spans="1:1" s="22" customFormat="1" ht="15.75" x14ac:dyDescent="0.25">
      <c r="A304" s="26" t="s">
        <v>344</v>
      </c>
    </row>
    <row r="305" spans="1:1" s="22" customFormat="1" ht="15.75" x14ac:dyDescent="0.25">
      <c r="A305" s="26" t="s">
        <v>345</v>
      </c>
    </row>
    <row r="306" spans="1:1" s="22" customFormat="1" ht="15.75" x14ac:dyDescent="0.25">
      <c r="A306" s="26" t="s">
        <v>346</v>
      </c>
    </row>
    <row r="307" spans="1:1" s="22" customFormat="1" ht="15.75" x14ac:dyDescent="0.25">
      <c r="A307" s="26" t="s">
        <v>347</v>
      </c>
    </row>
    <row r="308" spans="1:1" s="22" customFormat="1" ht="15.75" x14ac:dyDescent="0.25">
      <c r="A308" s="26" t="s">
        <v>348</v>
      </c>
    </row>
    <row r="309" spans="1:1" s="22" customFormat="1" ht="15.75" x14ac:dyDescent="0.25">
      <c r="A309" s="26" t="s">
        <v>349</v>
      </c>
    </row>
    <row r="310" spans="1:1" s="22" customFormat="1" ht="15.75" x14ac:dyDescent="0.25">
      <c r="A310" s="26" t="s">
        <v>350</v>
      </c>
    </row>
    <row r="311" spans="1:1" s="22" customFormat="1" ht="15.75" x14ac:dyDescent="0.25">
      <c r="A311" s="26" t="s">
        <v>351</v>
      </c>
    </row>
    <row r="312" spans="1:1" s="22" customFormat="1" ht="15.75" x14ac:dyDescent="0.25">
      <c r="A312" s="26" t="s">
        <v>352</v>
      </c>
    </row>
    <row r="313" spans="1:1" s="22" customFormat="1" ht="15.75" x14ac:dyDescent="0.25">
      <c r="A313" s="26" t="s">
        <v>353</v>
      </c>
    </row>
    <row r="314" spans="1:1" s="22" customFormat="1" ht="15.75" x14ac:dyDescent="0.25">
      <c r="A314" s="26" t="s">
        <v>354</v>
      </c>
    </row>
    <row r="315" spans="1:1" s="22" customFormat="1" ht="15.75" x14ac:dyDescent="0.25">
      <c r="A315" s="32" t="s">
        <v>162</v>
      </c>
    </row>
    <row r="316" spans="1:1" s="22" customFormat="1" ht="15.75" x14ac:dyDescent="0.25">
      <c r="A316" s="31" t="s">
        <v>355</v>
      </c>
    </row>
    <row r="317" spans="1:1" s="22" customFormat="1" ht="15.75" x14ac:dyDescent="0.25">
      <c r="A317" s="31"/>
    </row>
    <row r="318" spans="1:1" s="22" customFormat="1" ht="18.75" x14ac:dyDescent="0.25">
      <c r="A318" s="29" t="s">
        <v>356</v>
      </c>
    </row>
    <row r="319" spans="1:1" s="22" customFormat="1" ht="18.75" x14ac:dyDescent="0.25">
      <c r="A319" s="29" t="s">
        <v>357</v>
      </c>
    </row>
    <row r="320" spans="1:1" s="22" customFormat="1" ht="15.75" x14ac:dyDescent="0.25">
      <c r="A320" s="31" t="s">
        <v>358</v>
      </c>
    </row>
    <row r="321" spans="1:1" s="22" customFormat="1" ht="15.75" x14ac:dyDescent="0.25">
      <c r="A321" s="32" t="s">
        <v>359</v>
      </c>
    </row>
    <row r="322" spans="1:1" s="22" customFormat="1" ht="15.75" x14ac:dyDescent="0.25">
      <c r="A322" s="26" t="s">
        <v>360</v>
      </c>
    </row>
    <row r="323" spans="1:1" s="22" customFormat="1" ht="15.75" x14ac:dyDescent="0.25">
      <c r="A323" s="26" t="s">
        <v>361</v>
      </c>
    </row>
    <row r="324" spans="1:1" s="22" customFormat="1" ht="15.75" x14ac:dyDescent="0.25">
      <c r="A324" s="26" t="s">
        <v>362</v>
      </c>
    </row>
    <row r="325" spans="1:1" s="22" customFormat="1" ht="15.75" x14ac:dyDescent="0.25">
      <c r="A325" s="26" t="s">
        <v>363</v>
      </c>
    </row>
    <row r="326" spans="1:1" s="22" customFormat="1" ht="15.75" x14ac:dyDescent="0.25">
      <c r="A326" s="26" t="s">
        <v>364</v>
      </c>
    </row>
    <row r="327" spans="1:1" s="22" customFormat="1" ht="15.75" x14ac:dyDescent="0.25">
      <c r="A327" s="26" t="s">
        <v>365</v>
      </c>
    </row>
    <row r="328" spans="1:1" s="22" customFormat="1" ht="15.75" x14ac:dyDescent="0.25">
      <c r="A328" s="26" t="s">
        <v>366</v>
      </c>
    </row>
    <row r="329" spans="1:1" s="22" customFormat="1" ht="15.75" x14ac:dyDescent="0.25">
      <c r="A329" s="26" t="s">
        <v>367</v>
      </c>
    </row>
    <row r="330" spans="1:1" s="22" customFormat="1" ht="15.75" x14ac:dyDescent="0.25">
      <c r="A330" s="26" t="s">
        <v>368</v>
      </c>
    </row>
    <row r="331" spans="1:1" s="22" customFormat="1" ht="15.75" x14ac:dyDescent="0.25">
      <c r="A331" s="26" t="s">
        <v>369</v>
      </c>
    </row>
    <row r="332" spans="1:1" s="22" customFormat="1" ht="15.75" x14ac:dyDescent="0.25">
      <c r="A332" s="26" t="s">
        <v>370</v>
      </c>
    </row>
    <row r="333" spans="1:1" s="22" customFormat="1" ht="15.75" x14ac:dyDescent="0.25">
      <c r="A333" s="26" t="s">
        <v>371</v>
      </c>
    </row>
    <row r="334" spans="1:1" s="22" customFormat="1" ht="15.75" x14ac:dyDescent="0.25">
      <c r="A334" s="26" t="s">
        <v>372</v>
      </c>
    </row>
    <row r="335" spans="1:1" s="22" customFormat="1" ht="15.75" x14ac:dyDescent="0.25">
      <c r="A335" s="32" t="s">
        <v>373</v>
      </c>
    </row>
    <row r="336" spans="1:1" s="22" customFormat="1" ht="15.75" x14ac:dyDescent="0.25">
      <c r="A336" s="31" t="s">
        <v>374</v>
      </c>
    </row>
    <row r="337" spans="1:1" s="22" customFormat="1" ht="15.75" x14ac:dyDescent="0.25">
      <c r="A337" s="31"/>
    </row>
    <row r="338" spans="1:1" s="22" customFormat="1" ht="18.75" x14ac:dyDescent="0.25">
      <c r="A338" s="29" t="s">
        <v>375</v>
      </c>
    </row>
    <row r="339" spans="1:1" s="22" customFormat="1" ht="15.75" x14ac:dyDescent="0.25">
      <c r="A339" s="32" t="s">
        <v>376</v>
      </c>
    </row>
    <row r="340" spans="1:1" s="22" customFormat="1" ht="15.75" x14ac:dyDescent="0.25">
      <c r="A340" s="26" t="s">
        <v>377</v>
      </c>
    </row>
    <row r="341" spans="1:1" s="22" customFormat="1" ht="15.75" x14ac:dyDescent="0.25">
      <c r="A341" s="26" t="s">
        <v>378</v>
      </c>
    </row>
    <row r="342" spans="1:1" s="22" customFormat="1" ht="15.75" x14ac:dyDescent="0.25">
      <c r="A342" s="26" t="s">
        <v>379</v>
      </c>
    </row>
    <row r="343" spans="1:1" s="22" customFormat="1" ht="15.75" x14ac:dyDescent="0.25">
      <c r="A343" s="26" t="s">
        <v>380</v>
      </c>
    </row>
    <row r="344" spans="1:1" s="22" customFormat="1" ht="15.75" x14ac:dyDescent="0.25">
      <c r="A344" s="26" t="s">
        <v>381</v>
      </c>
    </row>
    <row r="345" spans="1:1" s="22" customFormat="1" ht="15.75" x14ac:dyDescent="0.25">
      <c r="A345" s="26" t="s">
        <v>382</v>
      </c>
    </row>
    <row r="346" spans="1:1" s="22" customFormat="1" ht="15.75" x14ac:dyDescent="0.25">
      <c r="A346" s="26" t="s">
        <v>383</v>
      </c>
    </row>
    <row r="347" spans="1:1" s="22" customFormat="1" ht="15.75" x14ac:dyDescent="0.25">
      <c r="A347" s="32" t="s">
        <v>384</v>
      </c>
    </row>
    <row r="348" spans="1:1" s="22" customFormat="1" ht="15.75" x14ac:dyDescent="0.25">
      <c r="A348" s="26" t="s">
        <v>385</v>
      </c>
    </row>
    <row r="349" spans="1:1" s="22" customFormat="1" ht="15.75" x14ac:dyDescent="0.25">
      <c r="A349" s="26" t="s">
        <v>386</v>
      </c>
    </row>
    <row r="350" spans="1:1" s="22" customFormat="1" ht="15.75" x14ac:dyDescent="0.25">
      <c r="A350" s="26" t="s">
        <v>387</v>
      </c>
    </row>
    <row r="351" spans="1:1" s="22" customFormat="1" ht="15.75" x14ac:dyDescent="0.25">
      <c r="A351" s="26" t="s">
        <v>388</v>
      </c>
    </row>
    <row r="352" spans="1:1" s="22" customFormat="1" ht="15.75" x14ac:dyDescent="0.25">
      <c r="A352" s="26" t="s">
        <v>389</v>
      </c>
    </row>
    <row r="353" spans="1:1" s="22" customFormat="1" ht="15.75" x14ac:dyDescent="0.25">
      <c r="A353" s="32" t="s">
        <v>390</v>
      </c>
    </row>
    <row r="354" spans="1:1" s="22" customFormat="1" ht="15.75" x14ac:dyDescent="0.25">
      <c r="A354" s="26" t="s">
        <v>391</v>
      </c>
    </row>
    <row r="355" spans="1:1" s="22" customFormat="1" ht="15.75" x14ac:dyDescent="0.25">
      <c r="A355" s="26" t="s">
        <v>392</v>
      </c>
    </row>
    <row r="356" spans="1:1" s="22" customFormat="1" ht="15.75" x14ac:dyDescent="0.25">
      <c r="A356" s="26" t="s">
        <v>393</v>
      </c>
    </row>
    <row r="357" spans="1:1" s="22" customFormat="1" ht="15.75" x14ac:dyDescent="0.25">
      <c r="A357" s="32" t="s">
        <v>394</v>
      </c>
    </row>
    <row r="358" spans="1:1" s="22" customFormat="1" ht="15.75" x14ac:dyDescent="0.25">
      <c r="A358" s="33" t="s">
        <v>395</v>
      </c>
    </row>
    <row r="359" spans="1:1" s="22" customFormat="1" ht="15.75" x14ac:dyDescent="0.25">
      <c r="A359" s="33" t="s">
        <v>396</v>
      </c>
    </row>
    <row r="360" spans="1:1" s="22" customFormat="1" ht="15.75" x14ac:dyDescent="0.25">
      <c r="A360" s="33" t="s">
        <v>397</v>
      </c>
    </row>
    <row r="361" spans="1:1" s="22" customFormat="1" ht="15.75" x14ac:dyDescent="0.25">
      <c r="A361" s="33" t="s">
        <v>398</v>
      </c>
    </row>
    <row r="362" spans="1:1" s="22" customFormat="1" ht="15.75" x14ac:dyDescent="0.25">
      <c r="A362" s="33" t="s">
        <v>399</v>
      </c>
    </row>
    <row r="363" spans="1:1" s="22" customFormat="1" ht="15.75" x14ac:dyDescent="0.25">
      <c r="A363" s="31"/>
    </row>
    <row r="364" spans="1:1" s="22" customFormat="1" ht="15.75" x14ac:dyDescent="0.25">
      <c r="A364" s="32" t="s">
        <v>400</v>
      </c>
    </row>
    <row r="365" spans="1:1" s="22" customFormat="1" ht="15.75" x14ac:dyDescent="0.25">
      <c r="A365" s="32" t="s">
        <v>401</v>
      </c>
    </row>
    <row r="366" spans="1:1" s="22" customFormat="1" ht="15.75" x14ac:dyDescent="0.25">
      <c r="A366" s="26" t="s">
        <v>402</v>
      </c>
    </row>
    <row r="367" spans="1:1" s="22" customFormat="1" ht="15.75" x14ac:dyDescent="0.25">
      <c r="A367" s="26" t="s">
        <v>403</v>
      </c>
    </row>
    <row r="368" spans="1:1" s="22" customFormat="1" ht="15.75" x14ac:dyDescent="0.25">
      <c r="A368" s="26" t="s">
        <v>404</v>
      </c>
    </row>
    <row r="369" spans="1:1" s="22" customFormat="1" ht="15.75" x14ac:dyDescent="0.25">
      <c r="A369" s="26" t="s">
        <v>405</v>
      </c>
    </row>
    <row r="370" spans="1:1" s="22" customFormat="1" ht="15.75" x14ac:dyDescent="0.25">
      <c r="A370" s="33" t="s">
        <v>406</v>
      </c>
    </row>
    <row r="371" spans="1:1" s="22" customFormat="1" ht="15.75" x14ac:dyDescent="0.25">
      <c r="A371" s="26" t="s">
        <v>407</v>
      </c>
    </row>
    <row r="372" spans="1:1" s="22" customFormat="1" ht="15.75" x14ac:dyDescent="0.25">
      <c r="A372" s="26" t="s">
        <v>408</v>
      </c>
    </row>
    <row r="373" spans="1:1" s="22" customFormat="1" ht="15.75" x14ac:dyDescent="0.25">
      <c r="A373" s="26" t="s">
        <v>409</v>
      </c>
    </row>
    <row r="374" spans="1:1" s="22" customFormat="1" ht="15.75" x14ac:dyDescent="0.25">
      <c r="A374" s="26" t="s">
        <v>410</v>
      </c>
    </row>
    <row r="375" spans="1:1" s="22" customFormat="1" ht="15.75" x14ac:dyDescent="0.25">
      <c r="A375" s="26" t="s">
        <v>411</v>
      </c>
    </row>
    <row r="376" spans="1:1" s="22" customFormat="1" ht="15.75" x14ac:dyDescent="0.25">
      <c r="A376" s="26" t="s">
        <v>412</v>
      </c>
    </row>
    <row r="377" spans="1:1" s="22" customFormat="1" ht="15.75" x14ac:dyDescent="0.25">
      <c r="A377" s="26" t="s">
        <v>413</v>
      </c>
    </row>
    <row r="378" spans="1:1" s="22" customFormat="1" ht="15.75" x14ac:dyDescent="0.25">
      <c r="A378" s="26" t="s">
        <v>414</v>
      </c>
    </row>
    <row r="379" spans="1:1" s="22" customFormat="1" ht="15.75" x14ac:dyDescent="0.25">
      <c r="A379" s="26" t="s">
        <v>415</v>
      </c>
    </row>
    <row r="380" spans="1:1" s="22" customFormat="1" ht="15.75" x14ac:dyDescent="0.25">
      <c r="A380" s="26" t="s">
        <v>416</v>
      </c>
    </row>
    <row r="381" spans="1:1" s="22" customFormat="1" ht="15.75" x14ac:dyDescent="0.25">
      <c r="A381" s="26" t="s">
        <v>417</v>
      </c>
    </row>
    <row r="382" spans="1:1" s="22" customFormat="1" ht="15.75" x14ac:dyDescent="0.25">
      <c r="A382" s="26" t="s">
        <v>418</v>
      </c>
    </row>
    <row r="383" spans="1:1" s="22" customFormat="1" ht="15.75" x14ac:dyDescent="0.25">
      <c r="A383" s="32" t="s">
        <v>419</v>
      </c>
    </row>
    <row r="384" spans="1:1" s="22" customFormat="1" ht="15.75" x14ac:dyDescent="0.25">
      <c r="A384" s="32" t="s">
        <v>420</v>
      </c>
    </row>
    <row r="385" spans="1:1" s="22" customFormat="1" ht="15.75" x14ac:dyDescent="0.25">
      <c r="A385" s="31" t="s">
        <v>421</v>
      </c>
    </row>
    <row r="386" spans="1:1" s="22" customFormat="1" ht="15.75" x14ac:dyDescent="0.25">
      <c r="A386" s="32" t="s">
        <v>422</v>
      </c>
    </row>
    <row r="387" spans="1:1" s="22" customFormat="1" ht="15.75" x14ac:dyDescent="0.25">
      <c r="A387" s="31"/>
    </row>
    <row r="388" spans="1:1" s="22" customFormat="1" ht="15.75" x14ac:dyDescent="0.25">
      <c r="A388" s="32" t="s">
        <v>423</v>
      </c>
    </row>
    <row r="389" spans="1:1" s="22" customFormat="1" ht="15.75" x14ac:dyDescent="0.25">
      <c r="A389" s="26" t="s">
        <v>424</v>
      </c>
    </row>
    <row r="390" spans="1:1" s="22" customFormat="1" ht="15.75" x14ac:dyDescent="0.25">
      <c r="A390" s="26" t="s">
        <v>425</v>
      </c>
    </row>
    <row r="391" spans="1:1" s="22" customFormat="1" ht="15.75" x14ac:dyDescent="0.25">
      <c r="A391" s="26" t="s">
        <v>426</v>
      </c>
    </row>
    <row r="392" spans="1:1" s="22" customFormat="1" ht="15.75" x14ac:dyDescent="0.25">
      <c r="A392" s="26" t="s">
        <v>427</v>
      </c>
    </row>
    <row r="393" spans="1:1" s="22" customFormat="1" ht="15.75" x14ac:dyDescent="0.25">
      <c r="A393" s="26" t="s">
        <v>428</v>
      </c>
    </row>
    <row r="394" spans="1:1" s="22" customFormat="1" ht="15.75" x14ac:dyDescent="0.25">
      <c r="A394" s="26" t="s">
        <v>429</v>
      </c>
    </row>
    <row r="395" spans="1:1" s="22" customFormat="1" ht="15.75" x14ac:dyDescent="0.25">
      <c r="A395" s="26" t="s">
        <v>430</v>
      </c>
    </row>
    <row r="396" spans="1:1" s="22" customFormat="1" ht="15.75" x14ac:dyDescent="0.25">
      <c r="A396" s="26" t="s">
        <v>431</v>
      </c>
    </row>
    <row r="397" spans="1:1" s="22" customFormat="1" ht="15.75" x14ac:dyDescent="0.25">
      <c r="A397" s="26" t="s">
        <v>432</v>
      </c>
    </row>
    <row r="398" spans="1:1" s="22" customFormat="1" ht="15.75" x14ac:dyDescent="0.25">
      <c r="A398" s="26" t="s">
        <v>433</v>
      </c>
    </row>
    <row r="399" spans="1:1" s="22" customFormat="1" ht="15.75" x14ac:dyDescent="0.25">
      <c r="A399" s="26" t="s">
        <v>434</v>
      </c>
    </row>
    <row r="400" spans="1:1" s="22" customFormat="1" ht="15.75" x14ac:dyDescent="0.25">
      <c r="A400" s="26" t="s">
        <v>435</v>
      </c>
    </row>
    <row r="401" spans="1:1" s="22" customFormat="1" ht="15.75" x14ac:dyDescent="0.25">
      <c r="A401" s="26" t="s">
        <v>436</v>
      </c>
    </row>
    <row r="402" spans="1:1" s="22" customFormat="1" ht="15.75" x14ac:dyDescent="0.25">
      <c r="A402" s="26" t="s">
        <v>437</v>
      </c>
    </row>
    <row r="403" spans="1:1" s="22" customFormat="1" ht="15.75" x14ac:dyDescent="0.25">
      <c r="A403" s="26" t="s">
        <v>438</v>
      </c>
    </row>
    <row r="404" spans="1:1" s="22" customFormat="1" ht="15.75" x14ac:dyDescent="0.25">
      <c r="A404" s="26" t="s">
        <v>439</v>
      </c>
    </row>
    <row r="405" spans="1:1" s="22" customFormat="1" ht="15.75" x14ac:dyDescent="0.25">
      <c r="A405" s="32" t="s">
        <v>419</v>
      </c>
    </row>
    <row r="406" spans="1:1" s="22" customFormat="1" ht="15.75" x14ac:dyDescent="0.25">
      <c r="A406" s="32" t="s">
        <v>440</v>
      </c>
    </row>
    <row r="407" spans="1:1" s="22" customFormat="1" ht="15.75" x14ac:dyDescent="0.25">
      <c r="A407" s="31"/>
    </row>
    <row r="408" spans="1:1" s="22" customFormat="1" ht="18.75" x14ac:dyDescent="0.25">
      <c r="A408" s="29" t="s">
        <v>441</v>
      </c>
    </row>
    <row r="409" spans="1:1" s="22" customFormat="1" ht="15.75" x14ac:dyDescent="0.25">
      <c r="A409" s="31" t="s">
        <v>442</v>
      </c>
    </row>
    <row r="410" spans="1:1" s="22" customFormat="1" ht="15.75" x14ac:dyDescent="0.25">
      <c r="A410" s="32" t="s">
        <v>373</v>
      </c>
    </row>
    <row r="411" spans="1:1" s="22" customFormat="1" ht="15.75" x14ac:dyDescent="0.25">
      <c r="A411" s="31" t="s">
        <v>443</v>
      </c>
    </row>
    <row r="412" spans="1:1" s="22" customFormat="1" ht="15.75" x14ac:dyDescent="0.25">
      <c r="A412" s="31"/>
    </row>
    <row r="413" spans="1:1" s="22" customFormat="1" ht="18.75" x14ac:dyDescent="0.25">
      <c r="A413" s="29" t="s">
        <v>444</v>
      </c>
    </row>
    <row r="414" spans="1:1" s="22" customFormat="1" ht="15.75" x14ac:dyDescent="0.25">
      <c r="A414" s="32" t="s">
        <v>445</v>
      </c>
    </row>
    <row r="415" spans="1:1" s="22" customFormat="1" ht="15.75" x14ac:dyDescent="0.25">
      <c r="A415" s="26" t="s">
        <v>446</v>
      </c>
    </row>
    <row r="416" spans="1:1" s="22" customFormat="1" ht="15.75" x14ac:dyDescent="0.25">
      <c r="A416" s="26" t="s">
        <v>447</v>
      </c>
    </row>
    <row r="417" spans="1:1" s="22" customFormat="1" ht="15.75" x14ac:dyDescent="0.25">
      <c r="A417" s="26" t="s">
        <v>448</v>
      </c>
    </row>
    <row r="418" spans="1:1" s="22" customFormat="1" ht="15.75" x14ac:dyDescent="0.25">
      <c r="A418" s="26" t="s">
        <v>449</v>
      </c>
    </row>
    <row r="419" spans="1:1" s="22" customFormat="1" ht="15.75" x14ac:dyDescent="0.25">
      <c r="A419" s="26" t="s">
        <v>450</v>
      </c>
    </row>
    <row r="420" spans="1:1" s="22" customFormat="1" ht="15.75" x14ac:dyDescent="0.25">
      <c r="A420" s="26" t="s">
        <v>451</v>
      </c>
    </row>
    <row r="421" spans="1:1" s="22" customFormat="1" ht="15.75" x14ac:dyDescent="0.25">
      <c r="A421" s="26" t="s">
        <v>452</v>
      </c>
    </row>
    <row r="422" spans="1:1" s="22" customFormat="1" ht="15.75" x14ac:dyDescent="0.25">
      <c r="A422" s="26" t="s">
        <v>453</v>
      </c>
    </row>
    <row r="423" spans="1:1" s="22" customFormat="1" ht="15.75" x14ac:dyDescent="0.25">
      <c r="A423" s="26" t="s">
        <v>454</v>
      </c>
    </row>
    <row r="424" spans="1:1" s="22" customFormat="1" ht="15.75" x14ac:dyDescent="0.25">
      <c r="A424" s="26" t="s">
        <v>455</v>
      </c>
    </row>
    <row r="425" spans="1:1" s="22" customFormat="1" ht="15.75" x14ac:dyDescent="0.25">
      <c r="A425" s="26" t="s">
        <v>456</v>
      </c>
    </row>
    <row r="426" spans="1:1" s="22" customFormat="1" ht="15.75" x14ac:dyDescent="0.25">
      <c r="A426" s="26" t="s">
        <v>457</v>
      </c>
    </row>
    <row r="427" spans="1:1" s="22" customFormat="1" ht="15.75" x14ac:dyDescent="0.25">
      <c r="A427" s="39" t="s">
        <v>458</v>
      </c>
    </row>
    <row r="428" spans="1:1" s="22" customFormat="1" ht="15.75" x14ac:dyDescent="0.25">
      <c r="A428" s="39" t="s">
        <v>459</v>
      </c>
    </row>
    <row r="429" spans="1:1" s="22" customFormat="1" ht="15.75" x14ac:dyDescent="0.25">
      <c r="A429" s="39" t="s">
        <v>460</v>
      </c>
    </row>
    <row r="430" spans="1:1" s="22" customFormat="1" ht="15.75" x14ac:dyDescent="0.25">
      <c r="A430" s="39" t="s">
        <v>461</v>
      </c>
    </row>
    <row r="431" spans="1:1" s="22" customFormat="1" ht="15.75" x14ac:dyDescent="0.25">
      <c r="A431" s="26" t="s">
        <v>462</v>
      </c>
    </row>
    <row r="432" spans="1:1" s="22" customFormat="1" ht="15.75" x14ac:dyDescent="0.25">
      <c r="A432" s="26" t="s">
        <v>463</v>
      </c>
    </row>
    <row r="433" spans="1:1" s="22" customFormat="1" ht="15.75" x14ac:dyDescent="0.25">
      <c r="A433" s="34"/>
    </row>
    <row r="434" spans="1:1" s="22" customFormat="1" ht="15.75" x14ac:dyDescent="0.25">
      <c r="A434" s="32" t="s">
        <v>464</v>
      </c>
    </row>
    <row r="435" spans="1:1" s="22" customFormat="1" ht="18.75" x14ac:dyDescent="0.25">
      <c r="A435" s="29" t="s">
        <v>465</v>
      </c>
    </row>
    <row r="436" spans="1:1" s="22" customFormat="1" ht="15.75" x14ac:dyDescent="0.25">
      <c r="A436" s="32"/>
    </row>
    <row r="437" spans="1:1" s="22" customFormat="1" ht="15.75" x14ac:dyDescent="0.25">
      <c r="A437" s="26" t="s">
        <v>466</v>
      </c>
    </row>
    <row r="438" spans="1:1" s="22" customFormat="1" ht="15.75" x14ac:dyDescent="0.25">
      <c r="A438" s="26" t="s">
        <v>467</v>
      </c>
    </row>
    <row r="439" spans="1:1" s="22" customFormat="1" ht="15.75" x14ac:dyDescent="0.25">
      <c r="A439" s="26" t="s">
        <v>468</v>
      </c>
    </row>
    <row r="440" spans="1:1" s="22" customFormat="1" ht="15.75" x14ac:dyDescent="0.25">
      <c r="A440" s="26" t="s">
        <v>339</v>
      </c>
    </row>
    <row r="441" spans="1:1" s="22" customFormat="1" ht="15.75" x14ac:dyDescent="0.25">
      <c r="A441" s="26" t="s">
        <v>469</v>
      </c>
    </row>
    <row r="442" spans="1:1" s="22" customFormat="1" ht="15.75" x14ac:dyDescent="0.25">
      <c r="A442" s="26" t="s">
        <v>470</v>
      </c>
    </row>
    <row r="443" spans="1:1" s="22" customFormat="1" ht="15.75" x14ac:dyDescent="0.25">
      <c r="A443" s="26" t="s">
        <v>471</v>
      </c>
    </row>
    <row r="444" spans="1:1" s="22" customFormat="1" ht="15.75" x14ac:dyDescent="0.25">
      <c r="A444" s="26" t="s">
        <v>472</v>
      </c>
    </row>
    <row r="445" spans="1:1" s="22" customFormat="1" ht="15.75" x14ac:dyDescent="0.25">
      <c r="A445" s="26" t="s">
        <v>473</v>
      </c>
    </row>
    <row r="446" spans="1:1" s="22" customFormat="1" ht="15.75" x14ac:dyDescent="0.25">
      <c r="A446" s="26" t="s">
        <v>474</v>
      </c>
    </row>
    <row r="447" spans="1:1" s="22" customFormat="1" ht="15.75" x14ac:dyDescent="0.25">
      <c r="A447" s="26" t="s">
        <v>475</v>
      </c>
    </row>
    <row r="448" spans="1:1" s="22" customFormat="1" ht="15.75" x14ac:dyDescent="0.25">
      <c r="A448" s="26" t="s">
        <v>476</v>
      </c>
    </row>
    <row r="449" spans="1:1" s="22" customFormat="1" ht="15.75" x14ac:dyDescent="0.25">
      <c r="A449" s="32" t="s">
        <v>162</v>
      </c>
    </row>
    <row r="450" spans="1:1" s="22" customFormat="1" ht="15.75" x14ac:dyDescent="0.25">
      <c r="A450" s="31" t="s">
        <v>477</v>
      </c>
    </row>
    <row r="451" spans="1:1" s="22" customFormat="1" ht="15.75" x14ac:dyDescent="0.25">
      <c r="A451" s="31"/>
    </row>
    <row r="452" spans="1:1" s="22" customFormat="1" ht="18.75" x14ac:dyDescent="0.25">
      <c r="A452" s="29" t="s">
        <v>478</v>
      </c>
    </row>
    <row r="453" spans="1:1" s="22" customFormat="1" ht="15.75" x14ac:dyDescent="0.25">
      <c r="A453" s="32" t="s">
        <v>479</v>
      </c>
    </row>
    <row r="454" spans="1:1" s="22" customFormat="1" ht="15.75" x14ac:dyDescent="0.25">
      <c r="A454" s="33" t="s">
        <v>480</v>
      </c>
    </row>
    <row r="455" spans="1:1" s="22" customFormat="1" ht="15.75" x14ac:dyDescent="0.25">
      <c r="A455" s="33" t="s">
        <v>481</v>
      </c>
    </row>
    <row r="456" spans="1:1" s="22" customFormat="1" ht="15.75" x14ac:dyDescent="0.25">
      <c r="A456" s="33" t="s">
        <v>482</v>
      </c>
    </row>
    <row r="457" spans="1:1" s="22" customFormat="1" ht="15.75" x14ac:dyDescent="0.25">
      <c r="A457" s="33" t="s">
        <v>483</v>
      </c>
    </row>
    <row r="458" spans="1:1" s="22" customFormat="1" ht="15.75" x14ac:dyDescent="0.25">
      <c r="A458" s="33" t="s">
        <v>484</v>
      </c>
    </row>
    <row r="459" spans="1:1" s="22" customFormat="1" ht="15.75" x14ac:dyDescent="0.25">
      <c r="A459" s="33" t="s">
        <v>485</v>
      </c>
    </row>
    <row r="460" spans="1:1" s="22" customFormat="1" ht="15.75" x14ac:dyDescent="0.25">
      <c r="A460" s="33" t="s">
        <v>486</v>
      </c>
    </row>
    <row r="461" spans="1:1" s="22" customFormat="1" ht="15.75" x14ac:dyDescent="0.25">
      <c r="A461" s="33" t="s">
        <v>487</v>
      </c>
    </row>
    <row r="462" spans="1:1" s="22" customFormat="1" ht="15.75" x14ac:dyDescent="0.25">
      <c r="A462" s="33" t="s">
        <v>488</v>
      </c>
    </row>
    <row r="463" spans="1:1" s="22" customFormat="1" ht="15.75" x14ac:dyDescent="0.25">
      <c r="A463" s="33" t="s">
        <v>489</v>
      </c>
    </row>
    <row r="464" spans="1:1" s="22" customFormat="1" ht="15.75" x14ac:dyDescent="0.25">
      <c r="A464" s="33" t="s">
        <v>280</v>
      </c>
    </row>
    <row r="465" spans="1:1" s="22" customFormat="1" ht="15.75" x14ac:dyDescent="0.25">
      <c r="A465" s="33" t="s">
        <v>490</v>
      </c>
    </row>
    <row r="466" spans="1:1" s="22" customFormat="1" ht="15.75" x14ac:dyDescent="0.25">
      <c r="A466" s="33" t="s">
        <v>491</v>
      </c>
    </row>
    <row r="467" spans="1:1" s="22" customFormat="1" ht="15.75" x14ac:dyDescent="0.25">
      <c r="A467" s="33" t="s">
        <v>492</v>
      </c>
    </row>
    <row r="468" spans="1:1" s="22" customFormat="1" ht="15.75" x14ac:dyDescent="0.25">
      <c r="A468" s="33" t="s">
        <v>493</v>
      </c>
    </row>
    <row r="469" spans="1:1" s="22" customFormat="1" ht="15.75" x14ac:dyDescent="0.25">
      <c r="A469" s="33" t="s">
        <v>494</v>
      </c>
    </row>
    <row r="470" spans="1:1" s="22" customFormat="1" ht="15.75" x14ac:dyDescent="0.25">
      <c r="A470" s="33" t="s">
        <v>495</v>
      </c>
    </row>
    <row r="471" spans="1:1" s="22" customFormat="1" ht="15.75" x14ac:dyDescent="0.25">
      <c r="A471" s="31"/>
    </row>
    <row r="472" spans="1:1" s="22" customFormat="1" ht="15.75" x14ac:dyDescent="0.25">
      <c r="A472" s="32" t="s">
        <v>496</v>
      </c>
    </row>
    <row r="473" spans="1:1" s="22" customFormat="1" ht="15.75" x14ac:dyDescent="0.25">
      <c r="A473" s="33" t="s">
        <v>497</v>
      </c>
    </row>
    <row r="474" spans="1:1" s="22" customFormat="1" ht="15.75" x14ac:dyDescent="0.25">
      <c r="A474" s="33" t="s">
        <v>498</v>
      </c>
    </row>
    <row r="475" spans="1:1" s="22" customFormat="1" ht="15.75" x14ac:dyDescent="0.25">
      <c r="A475" s="33" t="s">
        <v>499</v>
      </c>
    </row>
    <row r="476" spans="1:1" s="22" customFormat="1" ht="15.75" x14ac:dyDescent="0.25">
      <c r="A476" s="33" t="s">
        <v>500</v>
      </c>
    </row>
    <row r="477" spans="1:1" s="22" customFormat="1" ht="15.75" x14ac:dyDescent="0.25">
      <c r="A477" s="33" t="s">
        <v>501</v>
      </c>
    </row>
    <row r="478" spans="1:1" s="22" customFormat="1" ht="15.75" x14ac:dyDescent="0.25">
      <c r="A478" s="33" t="s">
        <v>502</v>
      </c>
    </row>
    <row r="479" spans="1:1" s="22" customFormat="1" ht="15.75" x14ac:dyDescent="0.25">
      <c r="A479" s="33" t="s">
        <v>503</v>
      </c>
    </row>
    <row r="480" spans="1:1" s="22" customFormat="1" ht="15.75" x14ac:dyDescent="0.25">
      <c r="A480" s="33" t="s">
        <v>504</v>
      </c>
    </row>
    <row r="481" spans="1:1" s="22" customFormat="1" ht="15.75" x14ac:dyDescent="0.25">
      <c r="A481" s="33" t="s">
        <v>505</v>
      </c>
    </row>
    <row r="482" spans="1:1" s="22" customFormat="1" ht="15.75" x14ac:dyDescent="0.25">
      <c r="A482" s="33" t="s">
        <v>506</v>
      </c>
    </row>
    <row r="483" spans="1:1" s="22" customFormat="1" ht="15.75" x14ac:dyDescent="0.25">
      <c r="A483" s="31"/>
    </row>
    <row r="484" spans="1:1" s="22" customFormat="1" ht="18.75" x14ac:dyDescent="0.25">
      <c r="A484" s="29" t="s">
        <v>507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9EF5E-04B9-4C14-BD21-02325F9D115C}">
  <dimension ref="A1:N109"/>
  <sheetViews>
    <sheetView topLeftCell="A93" workbookViewId="0">
      <selection activeCell="A100" sqref="A100"/>
    </sheetView>
  </sheetViews>
  <sheetFormatPr defaultRowHeight="15" x14ac:dyDescent="0.25"/>
  <cols>
    <col min="7" max="7" width="12.5703125" customWidth="1"/>
    <col min="8" max="8" width="12.28515625" customWidth="1"/>
    <col min="13" max="13" width="10.42578125" customWidth="1"/>
  </cols>
  <sheetData>
    <row r="1" spans="1:14" x14ac:dyDescent="0.25">
      <c r="A1" t="s">
        <v>547</v>
      </c>
      <c r="H1" s="44" t="s">
        <v>551</v>
      </c>
    </row>
    <row r="2" spans="1:14" x14ac:dyDescent="0.25">
      <c r="A2" t="s">
        <v>548</v>
      </c>
    </row>
    <row r="3" spans="1:14" x14ac:dyDescent="0.25">
      <c r="A3" t="s">
        <v>546</v>
      </c>
      <c r="H3" t="s">
        <v>552</v>
      </c>
    </row>
    <row r="4" spans="1:14" x14ac:dyDescent="0.25">
      <c r="A4" s="2" t="s">
        <v>150</v>
      </c>
      <c r="B4" s="2" t="s">
        <v>538</v>
      </c>
      <c r="C4" s="2" t="s">
        <v>540</v>
      </c>
      <c r="D4" s="2" t="s">
        <v>542</v>
      </c>
      <c r="E4" s="2"/>
      <c r="H4" t="s">
        <v>553</v>
      </c>
    </row>
    <row r="5" spans="1:14" x14ac:dyDescent="0.25">
      <c r="A5" t="s">
        <v>537</v>
      </c>
      <c r="B5" t="s">
        <v>539</v>
      </c>
      <c r="C5" t="s">
        <v>541</v>
      </c>
      <c r="D5" t="s">
        <v>543</v>
      </c>
      <c r="H5" t="s">
        <v>554</v>
      </c>
    </row>
    <row r="6" spans="1:14" x14ac:dyDescent="0.25">
      <c r="A6" t="s">
        <v>544</v>
      </c>
      <c r="B6" t="s">
        <v>539</v>
      </c>
      <c r="C6" s="43" t="s">
        <v>545</v>
      </c>
      <c r="D6" t="s">
        <v>543</v>
      </c>
      <c r="H6" t="s">
        <v>555</v>
      </c>
    </row>
    <row r="11" spans="1:14" x14ac:dyDescent="0.25">
      <c r="I11" s="44" t="s">
        <v>556</v>
      </c>
    </row>
    <row r="13" spans="1:14" x14ac:dyDescent="0.25">
      <c r="H13" s="44" t="s">
        <v>557</v>
      </c>
      <c r="L13" s="44" t="s">
        <v>561</v>
      </c>
    </row>
    <row r="14" spans="1:14" x14ac:dyDescent="0.25">
      <c r="G14" s="45" t="s">
        <v>559</v>
      </c>
      <c r="H14" s="45" t="s">
        <v>558</v>
      </c>
      <c r="I14" s="45" t="s">
        <v>560</v>
      </c>
      <c r="L14" s="45" t="s">
        <v>559</v>
      </c>
      <c r="M14" s="45" t="s">
        <v>558</v>
      </c>
      <c r="N14" s="45" t="s">
        <v>560</v>
      </c>
    </row>
    <row r="15" spans="1:14" x14ac:dyDescent="0.25">
      <c r="G15" s="46" t="b">
        <v>1</v>
      </c>
      <c r="H15" s="46" t="b">
        <v>1</v>
      </c>
      <c r="I15" s="46" t="b">
        <v>1</v>
      </c>
      <c r="L15" s="46" t="b">
        <v>1</v>
      </c>
      <c r="M15" s="46" t="b">
        <v>1</v>
      </c>
      <c r="N15" s="46" t="b">
        <v>1</v>
      </c>
    </row>
    <row r="16" spans="1:14" x14ac:dyDescent="0.25">
      <c r="G16" s="47" t="b">
        <v>1</v>
      </c>
      <c r="H16" s="47" t="b">
        <v>0</v>
      </c>
      <c r="I16" s="47" t="b">
        <v>0</v>
      </c>
      <c r="L16" s="48" t="b">
        <v>1</v>
      </c>
      <c r="M16" s="48" t="b">
        <v>0</v>
      </c>
      <c r="N16" s="48" t="b">
        <v>1</v>
      </c>
    </row>
    <row r="17" spans="7:14" x14ac:dyDescent="0.25">
      <c r="G17" s="47" t="b">
        <v>0</v>
      </c>
      <c r="H17" s="47" t="b">
        <v>1</v>
      </c>
      <c r="I17" s="47" t="b">
        <v>0</v>
      </c>
      <c r="L17" s="48" t="b">
        <v>0</v>
      </c>
      <c r="M17" s="48" t="b">
        <v>1</v>
      </c>
      <c r="N17" s="48" t="b">
        <v>1</v>
      </c>
    </row>
    <row r="18" spans="7:14" x14ac:dyDescent="0.25">
      <c r="G18" s="47" t="b">
        <v>0</v>
      </c>
      <c r="H18" s="47" t="b">
        <v>0</v>
      </c>
      <c r="I18" s="47" t="b">
        <v>0</v>
      </c>
      <c r="L18" s="47" t="b">
        <v>0</v>
      </c>
      <c r="M18" s="47" t="b">
        <v>0</v>
      </c>
      <c r="N18" s="47" t="b">
        <v>0</v>
      </c>
    </row>
    <row r="22" spans="7:14" x14ac:dyDescent="0.25">
      <c r="G22" t="s">
        <v>563</v>
      </c>
      <c r="L22" t="s">
        <v>564</v>
      </c>
    </row>
    <row r="23" spans="7:14" x14ac:dyDescent="0.25">
      <c r="G23" t="s">
        <v>562</v>
      </c>
      <c r="L23" t="s">
        <v>565</v>
      </c>
    </row>
    <row r="100" spans="1:1" ht="16.5" x14ac:dyDescent="0.25">
      <c r="A100" s="7" t="s">
        <v>549</v>
      </c>
    </row>
    <row r="101" spans="1:1" ht="16.5" x14ac:dyDescent="0.25">
      <c r="A101" s="7" t="s">
        <v>94</v>
      </c>
    </row>
    <row r="102" spans="1:1" ht="16.5" x14ac:dyDescent="0.25">
      <c r="A102" s="7" t="s">
        <v>95</v>
      </c>
    </row>
    <row r="103" spans="1:1" ht="16.5" x14ac:dyDescent="0.25">
      <c r="A103" s="7" t="s">
        <v>96</v>
      </c>
    </row>
    <row r="104" spans="1:1" ht="16.5" x14ac:dyDescent="0.25">
      <c r="A104" s="7" t="s">
        <v>97</v>
      </c>
    </row>
    <row r="105" spans="1:1" ht="16.5" x14ac:dyDescent="0.25">
      <c r="A105" s="7" t="s">
        <v>550</v>
      </c>
    </row>
    <row r="106" spans="1:1" ht="16.5" x14ac:dyDescent="0.25">
      <c r="A106" s="7" t="s">
        <v>98</v>
      </c>
    </row>
    <row r="107" spans="1:1" ht="16.5" x14ac:dyDescent="0.25">
      <c r="A107" s="7" t="s">
        <v>100</v>
      </c>
    </row>
    <row r="108" spans="1:1" ht="16.5" x14ac:dyDescent="0.25">
      <c r="A108" s="7" t="s">
        <v>101</v>
      </c>
    </row>
    <row r="109" spans="1:1" ht="16.5" x14ac:dyDescent="0.25">
      <c r="A109" s="7" t="s">
        <v>102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DD263-AF87-495D-97B2-8E957BF524B9}">
  <dimension ref="A1:S210"/>
  <sheetViews>
    <sheetView topLeftCell="D194" workbookViewId="0">
      <selection activeCell="G198" sqref="G198"/>
    </sheetView>
  </sheetViews>
  <sheetFormatPr defaultRowHeight="15" x14ac:dyDescent="0.25"/>
  <cols>
    <col min="2" max="2" width="13.28515625" customWidth="1"/>
    <col min="11" max="11" width="15.85546875" customWidth="1"/>
    <col min="12" max="12" width="29.7109375" customWidth="1"/>
  </cols>
  <sheetData>
    <row r="1" spans="1:19" ht="15.75" x14ac:dyDescent="0.25">
      <c r="A1" s="32" t="s">
        <v>423</v>
      </c>
    </row>
    <row r="2" spans="1:19" ht="15.75" x14ac:dyDescent="0.25">
      <c r="A2" s="26" t="s">
        <v>424</v>
      </c>
    </row>
    <row r="3" spans="1:19" ht="15.75" x14ac:dyDescent="0.25">
      <c r="A3" s="26" t="s">
        <v>425</v>
      </c>
      <c r="K3" t="s">
        <v>745</v>
      </c>
    </row>
    <row r="4" spans="1:19" ht="15.75" x14ac:dyDescent="0.25">
      <c r="A4" s="26" t="s">
        <v>426</v>
      </c>
    </row>
    <row r="5" spans="1:19" ht="15.75" x14ac:dyDescent="0.25">
      <c r="A5" s="26" t="s">
        <v>427</v>
      </c>
    </row>
    <row r="6" spans="1:19" ht="15.75" x14ac:dyDescent="0.25">
      <c r="A6" s="26" t="s">
        <v>428</v>
      </c>
      <c r="K6" s="44" t="s">
        <v>746</v>
      </c>
      <c r="N6" t="s">
        <v>757</v>
      </c>
    </row>
    <row r="7" spans="1:19" ht="15.75" x14ac:dyDescent="0.25">
      <c r="A7" s="26" t="s">
        <v>429</v>
      </c>
    </row>
    <row r="8" spans="1:19" ht="15.75" x14ac:dyDescent="0.25">
      <c r="A8" s="26" t="s">
        <v>430</v>
      </c>
      <c r="J8" t="s">
        <v>804</v>
      </c>
      <c r="K8" s="44" t="s">
        <v>747</v>
      </c>
    </row>
    <row r="9" spans="1:19" ht="15.75" x14ac:dyDescent="0.25">
      <c r="A9" s="26" t="s">
        <v>431</v>
      </c>
      <c r="K9" s="44" t="s">
        <v>748</v>
      </c>
      <c r="L9" s="44" t="s">
        <v>749</v>
      </c>
      <c r="M9" s="44" t="s">
        <v>750</v>
      </c>
      <c r="N9" s="44" t="s">
        <v>751</v>
      </c>
      <c r="O9" s="44" t="s">
        <v>752</v>
      </c>
      <c r="P9" s="44" t="s">
        <v>753</v>
      </c>
      <c r="Q9" s="44" t="s">
        <v>754</v>
      </c>
      <c r="R9" s="44" t="s">
        <v>755</v>
      </c>
      <c r="S9" s="44" t="s">
        <v>756</v>
      </c>
    </row>
    <row r="10" spans="1:19" ht="15.75" x14ac:dyDescent="0.25">
      <c r="A10" s="26" t="s">
        <v>432</v>
      </c>
      <c r="J10" t="s">
        <v>803</v>
      </c>
      <c r="K10" s="44" t="s">
        <v>758</v>
      </c>
      <c r="L10" t="s">
        <v>759</v>
      </c>
      <c r="M10" t="s">
        <v>760</v>
      </c>
      <c r="N10">
        <v>323</v>
      </c>
      <c r="O10" t="s">
        <v>761</v>
      </c>
      <c r="P10" t="s">
        <v>762</v>
      </c>
      <c r="Q10">
        <v>600093</v>
      </c>
      <c r="R10" s="66" t="s">
        <v>763</v>
      </c>
      <c r="S10">
        <v>52729829</v>
      </c>
    </row>
    <row r="11" spans="1:19" ht="15.75" x14ac:dyDescent="0.25">
      <c r="A11" s="26" t="s">
        <v>433</v>
      </c>
    </row>
    <row r="12" spans="1:19" ht="15.75" x14ac:dyDescent="0.25">
      <c r="A12" s="26" t="s">
        <v>434</v>
      </c>
    </row>
    <row r="13" spans="1:19" ht="15.75" x14ac:dyDescent="0.25">
      <c r="A13" s="26" t="s">
        <v>435</v>
      </c>
      <c r="O13" t="s">
        <v>764</v>
      </c>
    </row>
    <row r="14" spans="1:19" ht="15.75" x14ac:dyDescent="0.25">
      <c r="A14" s="26" t="s">
        <v>436</v>
      </c>
    </row>
    <row r="15" spans="1:19" ht="15.75" x14ac:dyDescent="0.25">
      <c r="A15" s="26" t="s">
        <v>437</v>
      </c>
    </row>
    <row r="16" spans="1:19" ht="15.75" x14ac:dyDescent="0.25">
      <c r="A16" s="26" t="s">
        <v>438</v>
      </c>
    </row>
    <row r="17" spans="1:15" ht="15.75" x14ac:dyDescent="0.25">
      <c r="A17" s="26" t="s">
        <v>439</v>
      </c>
      <c r="K17" s="66" t="s">
        <v>765</v>
      </c>
      <c r="O17" t="s">
        <v>755</v>
      </c>
    </row>
    <row r="18" spans="1:15" ht="15.75" x14ac:dyDescent="0.25">
      <c r="A18" s="32" t="s">
        <v>419</v>
      </c>
      <c r="O18" t="s">
        <v>768</v>
      </c>
    </row>
    <row r="19" spans="1:15" ht="15.75" x14ac:dyDescent="0.25">
      <c r="A19" s="32" t="s">
        <v>440</v>
      </c>
      <c r="K19" t="s">
        <v>766</v>
      </c>
      <c r="L19" t="s">
        <v>29</v>
      </c>
      <c r="O19" t="s">
        <v>769</v>
      </c>
    </row>
    <row r="20" spans="1:15" x14ac:dyDescent="0.25">
      <c r="K20" t="s">
        <v>767</v>
      </c>
      <c r="L20" t="s">
        <v>306</v>
      </c>
    </row>
    <row r="21" spans="1:15" x14ac:dyDescent="0.25">
      <c r="O21" t="s">
        <v>770</v>
      </c>
    </row>
    <row r="22" spans="1:15" x14ac:dyDescent="0.25">
      <c r="O22" t="s">
        <v>771</v>
      </c>
    </row>
    <row r="23" spans="1:15" x14ac:dyDescent="0.25">
      <c r="O23" t="s">
        <v>772</v>
      </c>
    </row>
    <row r="24" spans="1:15" x14ac:dyDescent="0.25">
      <c r="G24" s="44" t="s">
        <v>306</v>
      </c>
      <c r="O24" t="s">
        <v>773</v>
      </c>
    </row>
    <row r="25" spans="1:15" x14ac:dyDescent="0.25">
      <c r="O25" t="s">
        <v>752</v>
      </c>
    </row>
    <row r="26" spans="1:15" x14ac:dyDescent="0.25">
      <c r="E26" t="s">
        <v>774</v>
      </c>
      <c r="O26" t="s">
        <v>753</v>
      </c>
    </row>
    <row r="27" spans="1:15" x14ac:dyDescent="0.25">
      <c r="E27" t="s">
        <v>25</v>
      </c>
      <c r="O27" t="s">
        <v>754</v>
      </c>
    </row>
    <row r="28" spans="1:15" x14ac:dyDescent="0.25">
      <c r="F28" t="s">
        <v>306</v>
      </c>
    </row>
    <row r="29" spans="1:15" x14ac:dyDescent="0.25">
      <c r="L29" t="s">
        <v>799</v>
      </c>
      <c r="O29" t="s">
        <v>800</v>
      </c>
    </row>
    <row r="31" spans="1:15" x14ac:dyDescent="0.25">
      <c r="K31" t="s">
        <v>794</v>
      </c>
      <c r="O31" t="s">
        <v>795</v>
      </c>
    </row>
    <row r="32" spans="1:15" x14ac:dyDescent="0.25">
      <c r="E32" t="s">
        <v>775</v>
      </c>
      <c r="O32" t="s">
        <v>796</v>
      </c>
    </row>
    <row r="33" spans="1:12" x14ac:dyDescent="0.25">
      <c r="E33" t="s">
        <v>776</v>
      </c>
    </row>
    <row r="34" spans="1:12" x14ac:dyDescent="0.25">
      <c r="E34" t="s">
        <v>781</v>
      </c>
      <c r="K34" t="s">
        <v>798</v>
      </c>
      <c r="L34" t="s">
        <v>797</v>
      </c>
    </row>
    <row r="35" spans="1:12" x14ac:dyDescent="0.25">
      <c r="K35" t="s">
        <v>777</v>
      </c>
    </row>
    <row r="37" spans="1:12" x14ac:dyDescent="0.25">
      <c r="I37" s="66" t="s">
        <v>778</v>
      </c>
      <c r="L37" t="s">
        <v>802</v>
      </c>
    </row>
    <row r="39" spans="1:12" x14ac:dyDescent="0.25">
      <c r="J39" t="s">
        <v>779</v>
      </c>
    </row>
    <row r="40" spans="1:12" x14ac:dyDescent="0.25">
      <c r="J40" t="s">
        <v>791</v>
      </c>
    </row>
    <row r="41" spans="1:12" x14ac:dyDescent="0.25">
      <c r="A41" t="s">
        <v>780</v>
      </c>
      <c r="J41" t="s">
        <v>792</v>
      </c>
    </row>
    <row r="42" spans="1:12" x14ac:dyDescent="0.25">
      <c r="J42" t="s">
        <v>793</v>
      </c>
    </row>
    <row r="43" spans="1:12" x14ac:dyDescent="0.25">
      <c r="C43" t="s">
        <v>788</v>
      </c>
    </row>
    <row r="44" spans="1:12" x14ac:dyDescent="0.25">
      <c r="A44" t="s">
        <v>748</v>
      </c>
      <c r="B44" s="44" t="s">
        <v>782</v>
      </c>
      <c r="C44" s="44" t="s">
        <v>783</v>
      </c>
      <c r="D44" s="44" t="s">
        <v>784</v>
      </c>
      <c r="E44" s="44" t="s">
        <v>785</v>
      </c>
      <c r="F44" s="44" t="s">
        <v>790</v>
      </c>
    </row>
    <row r="45" spans="1:12" x14ac:dyDescent="0.25">
      <c r="A45" t="s">
        <v>758</v>
      </c>
      <c r="B45" t="s">
        <v>786</v>
      </c>
      <c r="C45" t="s">
        <v>787</v>
      </c>
      <c r="D45">
        <v>3</v>
      </c>
      <c r="E45">
        <v>1000000</v>
      </c>
      <c r="F45">
        <v>10000</v>
      </c>
      <c r="G45" t="s">
        <v>789</v>
      </c>
    </row>
    <row r="46" spans="1:12" x14ac:dyDescent="0.25">
      <c r="A46" t="s">
        <v>818</v>
      </c>
      <c r="B46" t="s">
        <v>819</v>
      </c>
      <c r="C46" t="s">
        <v>820</v>
      </c>
      <c r="D46">
        <v>20</v>
      </c>
      <c r="E46" t="s">
        <v>821</v>
      </c>
      <c r="F46">
        <v>20000</v>
      </c>
    </row>
    <row r="48" spans="1:12" x14ac:dyDescent="0.25">
      <c r="J48" t="s">
        <v>801</v>
      </c>
    </row>
    <row r="49" spans="7:16" x14ac:dyDescent="0.25">
      <c r="J49" s="44" t="s">
        <v>805</v>
      </c>
      <c r="K49" t="s">
        <v>806</v>
      </c>
      <c r="L49" t="s">
        <v>768</v>
      </c>
      <c r="M49" t="s">
        <v>807</v>
      </c>
      <c r="N49" t="s">
        <v>808</v>
      </c>
      <c r="O49" t="s">
        <v>809</v>
      </c>
      <c r="P49" t="s">
        <v>810</v>
      </c>
    </row>
    <row r="50" spans="7:16" x14ac:dyDescent="0.25">
      <c r="J50" t="s">
        <v>812</v>
      </c>
    </row>
    <row r="51" spans="7:16" x14ac:dyDescent="0.25">
      <c r="J51" t="s">
        <v>811</v>
      </c>
    </row>
    <row r="54" spans="7:16" x14ac:dyDescent="0.25">
      <c r="J54" t="s">
        <v>817</v>
      </c>
    </row>
    <row r="55" spans="7:16" x14ac:dyDescent="0.25">
      <c r="G55" t="s">
        <v>813</v>
      </c>
      <c r="H55" t="s">
        <v>814</v>
      </c>
    </row>
    <row r="56" spans="7:16" x14ac:dyDescent="0.25">
      <c r="H56" t="s">
        <v>815</v>
      </c>
    </row>
    <row r="57" spans="7:16" x14ac:dyDescent="0.25">
      <c r="H57" t="s">
        <v>816</v>
      </c>
    </row>
    <row r="70" spans="2:11" x14ac:dyDescent="0.25">
      <c r="D70" t="s">
        <v>822</v>
      </c>
      <c r="H70" t="s">
        <v>823</v>
      </c>
    </row>
    <row r="71" spans="2:11" x14ac:dyDescent="0.25">
      <c r="G71" t="s">
        <v>825</v>
      </c>
      <c r="H71" t="s">
        <v>824</v>
      </c>
    </row>
    <row r="78" spans="2:11" x14ac:dyDescent="0.25">
      <c r="B78" t="s">
        <v>827</v>
      </c>
    </row>
    <row r="80" spans="2:11" x14ac:dyDescent="0.25">
      <c r="B80" t="s">
        <v>826</v>
      </c>
      <c r="K80" t="s">
        <v>833</v>
      </c>
    </row>
    <row r="81" spans="2:11" ht="15.75" thickBot="1" x14ac:dyDescent="0.3">
      <c r="B81" t="s">
        <v>832</v>
      </c>
    </row>
    <row r="82" spans="2:11" ht="29.25" thickBot="1" x14ac:dyDescent="0.3">
      <c r="B82" s="67" t="s">
        <v>828</v>
      </c>
      <c r="C82" s="68" t="s">
        <v>829</v>
      </c>
      <c r="D82" s="68" t="s">
        <v>830</v>
      </c>
      <c r="E82" s="68" t="s">
        <v>831</v>
      </c>
      <c r="F82" s="69"/>
    </row>
    <row r="83" spans="2:11" x14ac:dyDescent="0.25">
      <c r="K83" t="s">
        <v>834</v>
      </c>
    </row>
    <row r="84" spans="2:11" x14ac:dyDescent="0.25">
      <c r="K84" t="s">
        <v>835</v>
      </c>
    </row>
    <row r="85" spans="2:11" x14ac:dyDescent="0.25">
      <c r="K85" t="s">
        <v>836</v>
      </c>
    </row>
    <row r="86" spans="2:11" x14ac:dyDescent="0.25">
      <c r="K86" t="s">
        <v>837</v>
      </c>
    </row>
    <row r="89" spans="2:11" x14ac:dyDescent="0.25">
      <c r="K89" t="s">
        <v>839</v>
      </c>
    </row>
    <row r="90" spans="2:11" x14ac:dyDescent="0.25">
      <c r="K90" t="s">
        <v>840</v>
      </c>
    </row>
    <row r="91" spans="2:11" x14ac:dyDescent="0.25">
      <c r="K91" t="s">
        <v>836</v>
      </c>
    </row>
    <row r="92" spans="2:11" x14ac:dyDescent="0.25">
      <c r="K92" t="s">
        <v>838</v>
      </c>
    </row>
    <row r="94" spans="2:11" x14ac:dyDescent="0.25">
      <c r="K94" s="44" t="s">
        <v>848</v>
      </c>
    </row>
    <row r="95" spans="2:11" x14ac:dyDescent="0.25">
      <c r="K95" t="s">
        <v>841</v>
      </c>
    </row>
    <row r="96" spans="2:11" x14ac:dyDescent="0.25">
      <c r="K96" t="s">
        <v>840</v>
      </c>
    </row>
    <row r="97" spans="6:19" x14ac:dyDescent="0.25">
      <c r="K97" t="s">
        <v>836</v>
      </c>
    </row>
    <row r="98" spans="6:19" x14ac:dyDescent="0.25">
      <c r="K98" t="s">
        <v>849</v>
      </c>
    </row>
    <row r="100" spans="6:19" x14ac:dyDescent="0.25">
      <c r="K100" s="44" t="s">
        <v>842</v>
      </c>
    </row>
    <row r="102" spans="6:19" x14ac:dyDescent="0.25">
      <c r="I102" t="s">
        <v>847</v>
      </c>
      <c r="K102" t="s">
        <v>843</v>
      </c>
      <c r="R102" t="s">
        <v>916</v>
      </c>
    </row>
    <row r="103" spans="6:19" x14ac:dyDescent="0.25">
      <c r="K103" t="s">
        <v>844</v>
      </c>
    </row>
    <row r="104" spans="6:19" x14ac:dyDescent="0.25">
      <c r="K104" t="s">
        <v>845</v>
      </c>
    </row>
    <row r="105" spans="6:19" x14ac:dyDescent="0.25">
      <c r="K105" t="s">
        <v>846</v>
      </c>
    </row>
    <row r="109" spans="6:19" x14ac:dyDescent="0.25">
      <c r="R109" t="s">
        <v>857</v>
      </c>
    </row>
    <row r="110" spans="6:19" x14ac:dyDescent="0.25">
      <c r="F110" t="s">
        <v>860</v>
      </c>
    </row>
    <row r="111" spans="6:19" x14ac:dyDescent="0.25">
      <c r="F111" s="44" t="s">
        <v>865</v>
      </c>
      <c r="M111" t="s">
        <v>850</v>
      </c>
    </row>
    <row r="112" spans="6:19" x14ac:dyDescent="0.25">
      <c r="I112" t="s">
        <v>859</v>
      </c>
      <c r="S112" t="s">
        <v>858</v>
      </c>
    </row>
    <row r="113" spans="8:19" x14ac:dyDescent="0.25">
      <c r="H113">
        <v>1</v>
      </c>
      <c r="I113" t="s">
        <v>862</v>
      </c>
      <c r="M113" t="s">
        <v>748</v>
      </c>
      <c r="N113" t="s">
        <v>856</v>
      </c>
    </row>
    <row r="114" spans="8:19" x14ac:dyDescent="0.25">
      <c r="H114">
        <v>2</v>
      </c>
      <c r="I114" t="s">
        <v>759</v>
      </c>
      <c r="M114" t="s">
        <v>758</v>
      </c>
      <c r="N114" t="s">
        <v>759</v>
      </c>
      <c r="S114" t="s">
        <v>759</v>
      </c>
    </row>
    <row r="115" spans="8:19" x14ac:dyDescent="0.25">
      <c r="H115">
        <v>3</v>
      </c>
      <c r="I115" t="s">
        <v>864</v>
      </c>
      <c r="M115" t="s">
        <v>818</v>
      </c>
      <c r="N115" t="s">
        <v>851</v>
      </c>
      <c r="S115" t="s">
        <v>851</v>
      </c>
    </row>
    <row r="116" spans="8:19" x14ac:dyDescent="0.25">
      <c r="H116">
        <v>4</v>
      </c>
      <c r="I116" t="s">
        <v>851</v>
      </c>
      <c r="M116" t="s">
        <v>852</v>
      </c>
      <c r="N116" t="s">
        <v>853</v>
      </c>
      <c r="S116" t="s">
        <v>855</v>
      </c>
    </row>
    <row r="117" spans="8:19" x14ac:dyDescent="0.25">
      <c r="H117">
        <v>5</v>
      </c>
      <c r="I117" t="s">
        <v>855</v>
      </c>
      <c r="M117" t="s">
        <v>854</v>
      </c>
      <c r="N117" t="s">
        <v>855</v>
      </c>
      <c r="S117" t="s">
        <v>853</v>
      </c>
    </row>
    <row r="118" spans="8:19" x14ac:dyDescent="0.25">
      <c r="H118">
        <v>6</v>
      </c>
      <c r="I118" t="s">
        <v>853</v>
      </c>
      <c r="M118" t="s">
        <v>861</v>
      </c>
      <c r="N118" t="s">
        <v>862</v>
      </c>
    </row>
    <row r="119" spans="8:19" x14ac:dyDescent="0.25">
      <c r="M119" t="s">
        <v>863</v>
      </c>
      <c r="N119" t="s">
        <v>864</v>
      </c>
    </row>
    <row r="129" spans="11:14" x14ac:dyDescent="0.25">
      <c r="L129" t="s">
        <v>866</v>
      </c>
    </row>
    <row r="130" spans="11:14" x14ac:dyDescent="0.25">
      <c r="K130" t="s">
        <v>871</v>
      </c>
    </row>
    <row r="131" spans="11:14" x14ac:dyDescent="0.25">
      <c r="K131" t="s">
        <v>867</v>
      </c>
    </row>
    <row r="132" spans="11:14" x14ac:dyDescent="0.25">
      <c r="K132" t="s">
        <v>868</v>
      </c>
    </row>
    <row r="133" spans="11:14" x14ac:dyDescent="0.25">
      <c r="K133" t="s">
        <v>869</v>
      </c>
    </row>
    <row r="134" spans="11:14" x14ac:dyDescent="0.25">
      <c r="K134" t="s">
        <v>870</v>
      </c>
    </row>
    <row r="135" spans="11:14" x14ac:dyDescent="0.25">
      <c r="K135" t="s">
        <v>874</v>
      </c>
      <c r="L135" t="s">
        <v>875</v>
      </c>
      <c r="M135" t="s">
        <v>876</v>
      </c>
      <c r="N135" t="s">
        <v>866</v>
      </c>
    </row>
    <row r="136" spans="11:14" x14ac:dyDescent="0.25">
      <c r="K136" t="s">
        <v>867</v>
      </c>
      <c r="L136" t="s">
        <v>872</v>
      </c>
      <c r="M136" t="s">
        <v>877</v>
      </c>
      <c r="N136">
        <v>100000</v>
      </c>
    </row>
    <row r="137" spans="11:14" x14ac:dyDescent="0.25">
      <c r="K137" t="s">
        <v>868</v>
      </c>
      <c r="L137" t="s">
        <v>872</v>
      </c>
      <c r="M137" t="s">
        <v>878</v>
      </c>
      <c r="N137">
        <v>20000</v>
      </c>
    </row>
    <row r="138" spans="11:14" x14ac:dyDescent="0.25">
      <c r="K138" t="s">
        <v>869</v>
      </c>
      <c r="L138" t="s">
        <v>873</v>
      </c>
      <c r="M138" t="s">
        <v>879</v>
      </c>
      <c r="N138">
        <v>300000</v>
      </c>
    </row>
    <row r="139" spans="11:14" x14ac:dyDescent="0.25">
      <c r="K139" t="s">
        <v>867</v>
      </c>
      <c r="L139" t="s">
        <v>873</v>
      </c>
      <c r="M139" t="s">
        <v>880</v>
      </c>
      <c r="N139">
        <v>7000004</v>
      </c>
    </row>
    <row r="143" spans="11:14" x14ac:dyDescent="0.25">
      <c r="L143" t="s">
        <v>882</v>
      </c>
    </row>
    <row r="146" spans="12:12" x14ac:dyDescent="0.25">
      <c r="L146" t="s">
        <v>884</v>
      </c>
    </row>
    <row r="147" spans="12:12" x14ac:dyDescent="0.25">
      <c r="L147" t="s">
        <v>883</v>
      </c>
    </row>
    <row r="149" spans="12:12" x14ac:dyDescent="0.25">
      <c r="L149" s="44" t="s">
        <v>885</v>
      </c>
    </row>
    <row r="150" spans="12:12" x14ac:dyDescent="0.25">
      <c r="L150" t="s">
        <v>886</v>
      </c>
    </row>
    <row r="151" spans="12:12" x14ac:dyDescent="0.25">
      <c r="L151" t="s">
        <v>887</v>
      </c>
    </row>
    <row r="152" spans="12:12" x14ac:dyDescent="0.25">
      <c r="L152" t="s">
        <v>888</v>
      </c>
    </row>
    <row r="153" spans="12:12" x14ac:dyDescent="0.25">
      <c r="L153" t="s">
        <v>889</v>
      </c>
    </row>
    <row r="154" spans="12:12" x14ac:dyDescent="0.25">
      <c r="L154" t="s">
        <v>890</v>
      </c>
    </row>
    <row r="155" spans="12:12" x14ac:dyDescent="0.25">
      <c r="L155" t="s">
        <v>891</v>
      </c>
    </row>
    <row r="156" spans="12:12" x14ac:dyDescent="0.25">
      <c r="L156" t="s">
        <v>892</v>
      </c>
    </row>
    <row r="157" spans="12:12" x14ac:dyDescent="0.25">
      <c r="L157" t="s">
        <v>893</v>
      </c>
    </row>
    <row r="158" spans="12:12" x14ac:dyDescent="0.25">
      <c r="L158" t="s">
        <v>894</v>
      </c>
    </row>
    <row r="159" spans="12:12" x14ac:dyDescent="0.25">
      <c r="L159" t="s">
        <v>895</v>
      </c>
    </row>
    <row r="160" spans="12:12" x14ac:dyDescent="0.25">
      <c r="L160" t="s">
        <v>896</v>
      </c>
    </row>
    <row r="161" spans="12:12" x14ac:dyDescent="0.25">
      <c r="L161" t="s">
        <v>897</v>
      </c>
    </row>
    <row r="162" spans="12:12" x14ac:dyDescent="0.25">
      <c r="L162" t="s">
        <v>887</v>
      </c>
    </row>
    <row r="163" spans="12:12" x14ac:dyDescent="0.25">
      <c r="L163" t="s">
        <v>898</v>
      </c>
    </row>
    <row r="164" spans="12:12" x14ac:dyDescent="0.25">
      <c r="L164" t="s">
        <v>899</v>
      </c>
    </row>
    <row r="165" spans="12:12" x14ac:dyDescent="0.25">
      <c r="L165" t="s">
        <v>900</v>
      </c>
    </row>
    <row r="167" spans="12:12" x14ac:dyDescent="0.25">
      <c r="L167" s="44" t="s">
        <v>901</v>
      </c>
    </row>
    <row r="168" spans="12:12" x14ac:dyDescent="0.25">
      <c r="L168" t="s">
        <v>902</v>
      </c>
    </row>
    <row r="169" spans="12:12" x14ac:dyDescent="0.25">
      <c r="L169" t="s">
        <v>887</v>
      </c>
    </row>
    <row r="170" spans="12:12" x14ac:dyDescent="0.25">
      <c r="L170" t="s">
        <v>888</v>
      </c>
    </row>
    <row r="171" spans="12:12" x14ac:dyDescent="0.25">
      <c r="L171" t="s">
        <v>889</v>
      </c>
    </row>
    <row r="172" spans="12:12" x14ac:dyDescent="0.25">
      <c r="L172" t="s">
        <v>890</v>
      </c>
    </row>
    <row r="173" spans="12:12" x14ac:dyDescent="0.25">
      <c r="L173" t="s">
        <v>891</v>
      </c>
    </row>
    <row r="174" spans="12:12" x14ac:dyDescent="0.25">
      <c r="L174" t="s">
        <v>892</v>
      </c>
    </row>
    <row r="175" spans="12:12" x14ac:dyDescent="0.25">
      <c r="L175" t="s">
        <v>893</v>
      </c>
    </row>
    <row r="176" spans="12:12" x14ac:dyDescent="0.25">
      <c r="L176" t="s">
        <v>894</v>
      </c>
    </row>
    <row r="177" spans="12:12" x14ac:dyDescent="0.25">
      <c r="L177" t="s">
        <v>895</v>
      </c>
    </row>
    <row r="178" spans="12:12" x14ac:dyDescent="0.25">
      <c r="L178" t="s">
        <v>896</v>
      </c>
    </row>
    <row r="179" spans="12:12" x14ac:dyDescent="0.25">
      <c r="L179" t="s">
        <v>897</v>
      </c>
    </row>
    <row r="180" spans="12:12" x14ac:dyDescent="0.25">
      <c r="L180" t="s">
        <v>887</v>
      </c>
    </row>
    <row r="181" spans="12:12" x14ac:dyDescent="0.25">
      <c r="L181" t="s">
        <v>898</v>
      </c>
    </row>
    <row r="182" spans="12:12" x14ac:dyDescent="0.25">
      <c r="L182" t="s">
        <v>899</v>
      </c>
    </row>
    <row r="183" spans="12:12" x14ac:dyDescent="0.25">
      <c r="L183" t="s">
        <v>900</v>
      </c>
    </row>
    <row r="187" spans="12:12" x14ac:dyDescent="0.25">
      <c r="L187" s="44" t="s">
        <v>903</v>
      </c>
    </row>
    <row r="189" spans="12:12" x14ac:dyDescent="0.25">
      <c r="L189" t="s">
        <v>904</v>
      </c>
    </row>
    <row r="190" spans="12:12" x14ac:dyDescent="0.25">
      <c r="L190" t="s">
        <v>905</v>
      </c>
    </row>
    <row r="191" spans="12:12" x14ac:dyDescent="0.25">
      <c r="L191" t="s">
        <v>906</v>
      </c>
    </row>
    <row r="192" spans="12:12" x14ac:dyDescent="0.25">
      <c r="L192" t="s">
        <v>909</v>
      </c>
    </row>
    <row r="193" spans="7:12" x14ac:dyDescent="0.25">
      <c r="L193" t="s">
        <v>907</v>
      </c>
    </row>
    <row r="194" spans="7:12" x14ac:dyDescent="0.25">
      <c r="L194" t="s">
        <v>908</v>
      </c>
    </row>
    <row r="198" spans="7:12" x14ac:dyDescent="0.25">
      <c r="G198" s="44" t="s">
        <v>926</v>
      </c>
      <c r="H198" t="s">
        <v>917</v>
      </c>
    </row>
    <row r="200" spans="7:12" x14ac:dyDescent="0.25">
      <c r="H200" t="s">
        <v>918</v>
      </c>
    </row>
    <row r="201" spans="7:12" x14ac:dyDescent="0.25">
      <c r="H201" t="s">
        <v>919</v>
      </c>
    </row>
    <row r="203" spans="7:12" x14ac:dyDescent="0.25">
      <c r="H203" t="s">
        <v>920</v>
      </c>
      <c r="L203" t="s">
        <v>921</v>
      </c>
    </row>
    <row r="205" spans="7:12" x14ac:dyDescent="0.25">
      <c r="H205" t="s">
        <v>922</v>
      </c>
    </row>
    <row r="206" spans="7:12" x14ac:dyDescent="0.25">
      <c r="H206" t="s">
        <v>923</v>
      </c>
    </row>
    <row r="207" spans="7:12" x14ac:dyDescent="0.25">
      <c r="H207" t="s">
        <v>924</v>
      </c>
    </row>
    <row r="208" spans="7:12" x14ac:dyDescent="0.25">
      <c r="H208" t="s">
        <v>881</v>
      </c>
    </row>
    <row r="210" spans="8:8" x14ac:dyDescent="0.25">
      <c r="H210" t="s">
        <v>925</v>
      </c>
    </row>
  </sheetData>
  <hyperlinks>
    <hyperlink ref="R10" r:id="rId1" xr:uid="{4115217A-C819-4494-9B37-F381CC96C3CA}"/>
    <hyperlink ref="K17" r:id="rId2" xr:uid="{6D4AB588-5CC0-43E7-A22F-A70B6F621400}"/>
    <hyperlink ref="I37" r:id="rId3" xr:uid="{1EC9773A-0875-4B11-B7C2-B63A7F8951DB}"/>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B0199-FD5A-4BDA-AA2F-1DD098D56AA9}">
  <dimension ref="C2:C100"/>
  <sheetViews>
    <sheetView topLeftCell="A85" workbookViewId="0">
      <selection activeCell="C100" sqref="C100"/>
    </sheetView>
  </sheetViews>
  <sheetFormatPr defaultRowHeight="15" x14ac:dyDescent="0.25"/>
  <sheetData>
    <row r="2" spans="3:3" x14ac:dyDescent="0.25">
      <c r="C2" t="s">
        <v>566</v>
      </c>
    </row>
    <row r="5" spans="3:3" x14ac:dyDescent="0.25">
      <c r="C5" s="49" t="s">
        <v>567</v>
      </c>
    </row>
    <row r="7" spans="3:3" x14ac:dyDescent="0.25">
      <c r="C7" t="s">
        <v>568</v>
      </c>
    </row>
    <row r="8" spans="3:3" x14ac:dyDescent="0.25">
      <c r="C8" t="str">
        <f>REPT("r",50)</f>
        <v>rrrrrrrrrrrrrrrrrrrrrrrrrrrrrrrrrrrrrrrrrrrrrrrrrr</v>
      </c>
    </row>
    <row r="100" spans="3:3" x14ac:dyDescent="0.25">
      <c r="C100" t="s">
        <v>569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9EBFF-FAB7-40C2-8100-85EAFB904205}">
  <dimension ref="B3:M100"/>
  <sheetViews>
    <sheetView topLeftCell="A5" zoomScale="150" zoomScaleNormal="150" workbookViewId="0">
      <selection activeCell="K17" sqref="K17"/>
    </sheetView>
  </sheetViews>
  <sheetFormatPr defaultRowHeight="15" x14ac:dyDescent="0.25"/>
  <sheetData>
    <row r="3" spans="4:13" x14ac:dyDescent="0.25">
      <c r="E3">
        <v>0</v>
      </c>
      <c r="F3">
        <v>1</v>
      </c>
      <c r="G3" s="48">
        <v>2</v>
      </c>
      <c r="H3">
        <v>3</v>
      </c>
      <c r="I3" s="48">
        <v>4</v>
      </c>
    </row>
    <row r="4" spans="4:13" x14ac:dyDescent="0.25">
      <c r="D4" t="s">
        <v>570</v>
      </c>
      <c r="E4">
        <v>1</v>
      </c>
      <c r="F4">
        <v>2</v>
      </c>
      <c r="G4">
        <v>3</v>
      </c>
      <c r="H4">
        <v>4</v>
      </c>
      <c r="I4">
        <v>5</v>
      </c>
      <c r="L4" t="s">
        <v>579</v>
      </c>
    </row>
    <row r="6" spans="4:13" x14ac:dyDescent="0.25">
      <c r="D6" t="s">
        <v>571</v>
      </c>
      <c r="L6" t="s">
        <v>575</v>
      </c>
    </row>
    <row r="7" spans="4:13" x14ac:dyDescent="0.25">
      <c r="L7" t="s">
        <v>576</v>
      </c>
    </row>
    <row r="8" spans="4:13" x14ac:dyDescent="0.25">
      <c r="E8" t="s">
        <v>572</v>
      </c>
      <c r="I8" t="s">
        <v>573</v>
      </c>
      <c r="L8" t="s">
        <v>577</v>
      </c>
    </row>
    <row r="9" spans="4:13" x14ac:dyDescent="0.25">
      <c r="I9" t="s">
        <v>574</v>
      </c>
    </row>
    <row r="10" spans="4:13" x14ac:dyDescent="0.25">
      <c r="I10" t="s">
        <v>578</v>
      </c>
    </row>
    <row r="12" spans="4:13" x14ac:dyDescent="0.25">
      <c r="H12" t="s">
        <v>580</v>
      </c>
      <c r="K12" t="s">
        <v>587</v>
      </c>
    </row>
    <row r="13" spans="4:13" x14ac:dyDescent="0.25">
      <c r="H13" t="s">
        <v>586</v>
      </c>
      <c r="K13" t="s">
        <v>581</v>
      </c>
      <c r="L13" t="s">
        <v>582</v>
      </c>
      <c r="M13" t="s">
        <v>584</v>
      </c>
    </row>
    <row r="14" spans="4:13" x14ac:dyDescent="0.25">
      <c r="K14" t="s">
        <v>183</v>
      </c>
      <c r="L14" t="s">
        <v>583</v>
      </c>
      <c r="M14" t="s">
        <v>585</v>
      </c>
    </row>
    <row r="16" spans="4:13" x14ac:dyDescent="0.25">
      <c r="K16" t="s">
        <v>588</v>
      </c>
    </row>
    <row r="100" spans="2:2" x14ac:dyDescent="0.25">
      <c r="B100" t="s">
        <v>569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ED22E-69BE-48F7-94C8-6CAB8D4B66E4}">
  <dimension ref="C99:C101"/>
  <sheetViews>
    <sheetView workbookViewId="0">
      <selection activeCell="C1" sqref="C1"/>
    </sheetView>
  </sheetViews>
  <sheetFormatPr defaultRowHeight="15" x14ac:dyDescent="0.25"/>
  <sheetData>
    <row r="99" spans="3:3" x14ac:dyDescent="0.25">
      <c r="C99" t="s">
        <v>92</v>
      </c>
    </row>
    <row r="100" spans="3:3" x14ac:dyDescent="0.25">
      <c r="C100" t="s">
        <v>589</v>
      </c>
    </row>
    <row r="101" spans="3:3" x14ac:dyDescent="0.25">
      <c r="C101" t="s">
        <v>590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D2AC4-7135-45AD-B278-1DBC17B0666E}">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Day9</vt:lpstr>
      <vt:lpstr>Day10</vt:lpstr>
      <vt:lpstr>Day12-MidEval</vt:lpstr>
      <vt:lpstr>FinalAssessment</vt:lpstr>
      <vt:lpstr>Day13</vt:lpstr>
      <vt:lpstr>Day3</vt:lpstr>
      <vt:lpstr>TOC</vt:lpstr>
      <vt:lpstr>Day4</vt:lpstr>
      <vt:lpstr>Day19DB</vt:lpstr>
      <vt:lpstr>Day5</vt:lpstr>
      <vt:lpstr>Day6</vt:lpstr>
      <vt:lpstr>Day7</vt:lpstr>
      <vt:lpstr>Day8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Murthy</dc:creator>
  <cp:lastModifiedBy>Bala Murthy</cp:lastModifiedBy>
  <dcterms:created xsi:type="dcterms:W3CDTF">2026-08-21T05:32:03Z</dcterms:created>
  <dcterms:modified xsi:type="dcterms:W3CDTF">2026-09-22T07:37:28Z</dcterms:modified>
</cp:coreProperties>
</file>